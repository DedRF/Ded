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Михаил\Desktop\"/>
    </mc:Choice>
  </mc:AlternateContent>
  <xr:revisionPtr revIDLastSave="0" documentId="13_ncr:1_{109E1311-D419-4DFC-91DF-5AE20A06E393}" xr6:coauthVersionLast="47" xr6:coauthVersionMax="47" xr10:uidLastSave="{00000000-0000-0000-0000-000000000000}"/>
  <bookViews>
    <workbookView xWindow="-120" yWindow="-120" windowWidth="29040" windowHeight="15840" firstSheet="3" activeTab="12" xr2:uid="{00000000-000D-0000-FFFF-FFFF00000000}"/>
  </bookViews>
  <sheets>
    <sheet name="Содержание" sheetId="1" r:id="rId1"/>
    <sheet name="Задание 1" sheetId="2" r:id="rId2"/>
    <sheet name="Горизонт" sheetId="3" r:id="rId3"/>
    <sheet name="Общий отчет" sheetId="4" r:id="rId4"/>
    <sheet name="Задание 2" sheetId="5" r:id="rId5"/>
    <sheet name="Задание 3" sheetId="6" r:id="rId6"/>
    <sheet name="Задание 4" sheetId="7" r:id="rId7"/>
    <sheet name="Задание 5" sheetId="8" r:id="rId8"/>
    <sheet name="Задание 6" sheetId="9" r:id="rId9"/>
    <sheet name="Задание 7" sheetId="10" r:id="rId10"/>
    <sheet name="Задание 8" sheetId="11" r:id="rId11"/>
    <sheet name="Задание 9" sheetId="12" r:id="rId12"/>
    <sheet name="Задание 10" sheetId="13" r:id="rId1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3" l="1"/>
  <c r="D34" i="13"/>
  <c r="C34" i="13"/>
  <c r="B34" i="13"/>
  <c r="E33" i="13"/>
  <c r="D33" i="13"/>
  <c r="C33" i="13"/>
  <c r="B33" i="13"/>
  <c r="E32" i="13"/>
  <c r="D32" i="13"/>
  <c r="C32" i="13"/>
  <c r="B32" i="13"/>
  <c r="E31" i="13"/>
  <c r="D31" i="13"/>
  <c r="C31" i="13"/>
  <c r="B31" i="13"/>
  <c r="E30" i="13"/>
  <c r="D30" i="13"/>
  <c r="C30" i="13"/>
  <c r="B30" i="13"/>
  <c r="E29" i="13"/>
  <c r="D29" i="13"/>
  <c r="C29" i="13"/>
  <c r="B29" i="13"/>
  <c r="E28" i="13"/>
  <c r="D28" i="13"/>
  <c r="C28" i="13"/>
  <c r="B28" i="13"/>
  <c r="E27" i="13"/>
  <c r="D27" i="13"/>
  <c r="C27" i="13"/>
  <c r="B27" i="13"/>
  <c r="E26" i="13"/>
  <c r="D26" i="13"/>
  <c r="C26" i="13"/>
  <c r="B26" i="13"/>
  <c r="E25" i="13"/>
  <c r="D25" i="13"/>
  <c r="C25" i="13"/>
  <c r="B25" i="13"/>
  <c r="E24" i="13"/>
  <c r="D24" i="13"/>
  <c r="C24" i="13"/>
  <c r="B24" i="13"/>
  <c r="E23" i="13"/>
  <c r="D23" i="13"/>
  <c r="C23" i="13"/>
  <c r="B23" i="13"/>
  <c r="E22" i="13"/>
  <c r="D22" i="13"/>
  <c r="C22" i="13"/>
  <c r="B22" i="13"/>
  <c r="E21" i="13"/>
  <c r="D21" i="13"/>
  <c r="C21" i="13"/>
  <c r="B21" i="13"/>
  <c r="E20" i="13"/>
  <c r="D20" i="13"/>
  <c r="C20" i="13"/>
  <c r="B20" i="13"/>
  <c r="E19" i="13"/>
  <c r="D19" i="13"/>
  <c r="C19" i="13"/>
  <c r="B19" i="13"/>
  <c r="E18" i="13"/>
  <c r="D18" i="13"/>
  <c r="C18" i="13"/>
  <c r="B18" i="13"/>
  <c r="E17" i="13"/>
  <c r="D17" i="13"/>
  <c r="C17" i="13"/>
  <c r="B17" i="13"/>
  <c r="E16" i="13"/>
  <c r="D16" i="13"/>
  <c r="C16" i="13"/>
  <c r="B16" i="13"/>
  <c r="E15" i="13"/>
  <c r="D15" i="13"/>
  <c r="C15" i="13"/>
  <c r="B15" i="13"/>
  <c r="E14" i="13"/>
  <c r="D14" i="13"/>
  <c r="C14" i="13"/>
  <c r="B14" i="13"/>
  <c r="E13" i="13"/>
  <c r="D13" i="13"/>
  <c r="C13" i="13"/>
  <c r="B13" i="13"/>
  <c r="E12" i="13"/>
  <c r="D12" i="13"/>
  <c r="C12" i="13"/>
  <c r="B12" i="13"/>
  <c r="E11" i="13"/>
  <c r="D11" i="13"/>
  <c r="C11" i="13"/>
  <c r="B11" i="13"/>
  <c r="E10" i="13"/>
  <c r="D10" i="13"/>
  <c r="C10" i="13"/>
  <c r="B10" i="13"/>
  <c r="E9" i="13"/>
  <c r="D9" i="13"/>
  <c r="C9" i="13"/>
  <c r="B9" i="13"/>
  <c r="E8" i="13"/>
  <c r="D8" i="13"/>
  <c r="C8" i="13"/>
  <c r="B8" i="13"/>
  <c r="E7" i="13"/>
  <c r="D7" i="13"/>
  <c r="C7" i="13"/>
  <c r="B7" i="13"/>
  <c r="E6" i="13"/>
  <c r="D6" i="13"/>
  <c r="C6" i="13"/>
  <c r="B6" i="13"/>
  <c r="E5" i="13"/>
  <c r="D5" i="13"/>
  <c r="C5" i="13"/>
  <c r="B5" i="13"/>
  <c r="E4" i="13"/>
  <c r="D4" i="13"/>
  <c r="C4" i="13"/>
  <c r="B4" i="13"/>
  <c r="P15" i="12"/>
  <c r="P14" i="12"/>
  <c r="I14" i="12"/>
  <c r="H14" i="12"/>
  <c r="P13" i="12"/>
  <c r="I13" i="12"/>
  <c r="H13" i="12"/>
  <c r="P12" i="12"/>
  <c r="I12" i="12"/>
  <c r="H12" i="12"/>
  <c r="P11" i="12"/>
  <c r="I11" i="12"/>
  <c r="H11" i="12"/>
  <c r="P10" i="12"/>
  <c r="I10" i="12"/>
  <c r="H10" i="12"/>
  <c r="P9" i="12"/>
  <c r="M9" i="12"/>
  <c r="I9" i="12"/>
  <c r="H9" i="12"/>
  <c r="P8" i="12"/>
  <c r="M8" i="12"/>
  <c r="I8" i="12"/>
  <c r="H8" i="12"/>
  <c r="P7" i="12"/>
  <c r="I7" i="12"/>
  <c r="H7" i="12"/>
  <c r="P6" i="12"/>
  <c r="I6" i="12"/>
  <c r="Q7" i="12" s="1"/>
  <c r="H6" i="12"/>
  <c r="I5" i="12"/>
  <c r="Q6" i="12" s="1"/>
  <c r="H5" i="12"/>
  <c r="G14" i="11"/>
  <c r="H14" i="11" s="1"/>
  <c r="I14" i="11" s="1"/>
  <c r="F14" i="11"/>
  <c r="G13" i="11"/>
  <c r="H13" i="11" s="1"/>
  <c r="I13" i="11" s="1"/>
  <c r="F13" i="11"/>
  <c r="G12" i="11"/>
  <c r="H12" i="11" s="1"/>
  <c r="I12" i="11" s="1"/>
  <c r="F12" i="11"/>
  <c r="G11" i="11"/>
  <c r="H11" i="11" s="1"/>
  <c r="I11" i="11" s="1"/>
  <c r="F11" i="11"/>
  <c r="G10" i="11"/>
  <c r="H10" i="11" s="1"/>
  <c r="I10" i="11" s="1"/>
  <c r="F10" i="11"/>
  <c r="G9" i="11"/>
  <c r="H9" i="11" s="1"/>
  <c r="I9" i="11" s="1"/>
  <c r="F9" i="11"/>
  <c r="G8" i="11"/>
  <c r="H8" i="11" s="1"/>
  <c r="I8" i="11" s="1"/>
  <c r="F8" i="11"/>
  <c r="G7" i="11"/>
  <c r="H7" i="11" s="1"/>
  <c r="I7" i="11" s="1"/>
  <c r="F7" i="11"/>
  <c r="G6" i="11"/>
  <c r="H6" i="11" s="1"/>
  <c r="I6" i="11" s="1"/>
  <c r="L13" i="11" s="1"/>
  <c r="F6" i="11"/>
  <c r="G5" i="11"/>
  <c r="H5" i="11" s="1"/>
  <c r="I5" i="11" s="1"/>
  <c r="F5" i="11"/>
  <c r="H16" i="10"/>
  <c r="I16" i="10" s="1"/>
  <c r="O15" i="10"/>
  <c r="H15" i="10"/>
  <c r="I15" i="10" s="1"/>
  <c r="O14" i="10"/>
  <c r="L14" i="10"/>
  <c r="H14" i="10"/>
  <c r="I14" i="10" s="1"/>
  <c r="O13" i="10"/>
  <c r="L13" i="10"/>
  <c r="H13" i="10"/>
  <c r="I13" i="10" s="1"/>
  <c r="O12" i="10"/>
  <c r="L12" i="10"/>
  <c r="H12" i="10"/>
  <c r="I12" i="10" s="1"/>
  <c r="H11" i="10"/>
  <c r="I11" i="10" s="1"/>
  <c r="H10" i="10"/>
  <c r="I10" i="10" s="1"/>
  <c r="L9" i="10"/>
  <c r="H9" i="10"/>
  <c r="I9" i="10" s="1"/>
  <c r="L8" i="10"/>
  <c r="H8" i="10"/>
  <c r="I8" i="10" s="1"/>
  <c r="H7" i="10"/>
  <c r="I7" i="10" s="1"/>
  <c r="H6" i="10"/>
  <c r="I6" i="10" s="1"/>
  <c r="H5" i="10"/>
  <c r="G10" i="9"/>
  <c r="H10" i="9" s="1"/>
  <c r="I10" i="9" s="1"/>
  <c r="G9" i="9"/>
  <c r="H9" i="9" s="1"/>
  <c r="I9" i="9" s="1"/>
  <c r="G8" i="9"/>
  <c r="H8" i="9" s="1"/>
  <c r="I8" i="9" s="1"/>
  <c r="L13" i="9" s="1"/>
  <c r="G7" i="9"/>
  <c r="H7" i="9" s="1"/>
  <c r="I7" i="9" s="1"/>
  <c r="G6" i="9"/>
  <c r="H6" i="9" s="1"/>
  <c r="I6" i="9" s="1"/>
  <c r="G5" i="9"/>
  <c r="H5" i="9" s="1"/>
  <c r="I5" i="9" s="1"/>
  <c r="E14" i="8"/>
  <c r="F14" i="8" s="1"/>
  <c r="E13" i="8"/>
  <c r="F13" i="8" s="1"/>
  <c r="E12" i="8"/>
  <c r="F12" i="8" s="1"/>
  <c r="E11" i="8"/>
  <c r="F11" i="8" s="1"/>
  <c r="E10" i="8"/>
  <c r="F10" i="8" s="1"/>
  <c r="E9" i="8"/>
  <c r="F9" i="8" s="1"/>
  <c r="E8" i="8"/>
  <c r="F8" i="8" s="1"/>
  <c r="E7" i="8"/>
  <c r="F7" i="8" s="1"/>
  <c r="E6" i="8"/>
  <c r="E5" i="8"/>
  <c r="H14" i="7"/>
  <c r="F14" i="7"/>
  <c r="G14" i="7" s="1"/>
  <c r="H13" i="7"/>
  <c r="F13" i="7"/>
  <c r="G13" i="7" s="1"/>
  <c r="H12" i="7"/>
  <c r="F12" i="7"/>
  <c r="G12" i="7" s="1"/>
  <c r="H11" i="7"/>
  <c r="F11" i="7"/>
  <c r="G11" i="7" s="1"/>
  <c r="H10" i="7"/>
  <c r="F10" i="7"/>
  <c r="G10" i="7" s="1"/>
  <c r="H9" i="7"/>
  <c r="F9" i="7"/>
  <c r="G9" i="7" s="1"/>
  <c r="H8" i="7"/>
  <c r="F8" i="7"/>
  <c r="G8" i="7" s="1"/>
  <c r="H7" i="7"/>
  <c r="F7" i="7"/>
  <c r="G7" i="7" s="1"/>
  <c r="H6" i="7"/>
  <c r="F6" i="7"/>
  <c r="G6" i="7" s="1"/>
  <c r="H5" i="7"/>
  <c r="F5" i="7"/>
  <c r="K38" i="6"/>
  <c r="K37" i="6"/>
  <c r="K36" i="6"/>
  <c r="J19" i="6"/>
  <c r="F16" i="6"/>
  <c r="H16" i="6" s="1"/>
  <c r="F15" i="6"/>
  <c r="F14" i="6"/>
  <c r="H14" i="6" s="1"/>
  <c r="J30" i="6" s="1"/>
  <c r="F13" i="6"/>
  <c r="H13" i="6" s="1"/>
  <c r="F12" i="6"/>
  <c r="H12" i="6" s="1"/>
  <c r="F11" i="6"/>
  <c r="H11" i="6" s="1"/>
  <c r="F10" i="6"/>
  <c r="H10" i="6" s="1"/>
  <c r="F9" i="6"/>
  <c r="F8" i="6"/>
  <c r="H8" i="6" s="1"/>
  <c r="F7" i="6"/>
  <c r="H7" i="6" s="1"/>
  <c r="F6" i="6"/>
  <c r="H6" i="6" s="1"/>
  <c r="F5" i="6"/>
  <c r="F11" i="5"/>
  <c r="C14" i="5" s="1"/>
  <c r="E11" i="5"/>
  <c r="G10" i="5"/>
  <c r="G9" i="5"/>
  <c r="G8" i="5"/>
  <c r="G7" i="5"/>
  <c r="G6" i="5"/>
  <c r="G5" i="5"/>
  <c r="D9" i="4"/>
  <c r="C9" i="4"/>
  <c r="B9" i="4"/>
  <c r="A9" i="4"/>
  <c r="D8" i="4"/>
  <c r="C8" i="4"/>
  <c r="B8" i="4"/>
  <c r="A8" i="4"/>
  <c r="D7" i="4"/>
  <c r="C7" i="4"/>
  <c r="B7" i="4"/>
  <c r="E7" i="4" s="1"/>
  <c r="A7" i="4"/>
  <c r="D6" i="4"/>
  <c r="C6" i="4"/>
  <c r="B6" i="4"/>
  <c r="A6" i="4"/>
  <c r="D5" i="4"/>
  <c r="C5" i="4"/>
  <c r="B5" i="4"/>
  <c r="A5" i="4"/>
  <c r="D11" i="3"/>
  <c r="C11" i="3"/>
  <c r="B11" i="3"/>
  <c r="E9" i="3"/>
  <c r="E8" i="3"/>
  <c r="E7" i="3"/>
  <c r="E6" i="3"/>
  <c r="E5" i="3"/>
  <c r="E38" i="2"/>
  <c r="D36" i="2"/>
  <c r="C36" i="2"/>
  <c r="B36" i="2"/>
  <c r="A36" i="2"/>
  <c r="D35" i="2"/>
  <c r="C35" i="2"/>
  <c r="B35" i="2"/>
  <c r="F35" i="2" s="1"/>
  <c r="A35" i="2"/>
  <c r="D34" i="2"/>
  <c r="C34" i="2"/>
  <c r="B34" i="2"/>
  <c r="F34" i="2" s="1"/>
  <c r="A34" i="2"/>
  <c r="D33" i="2"/>
  <c r="C33" i="2"/>
  <c r="B33" i="2"/>
  <c r="F33" i="2" s="1"/>
  <c r="A33" i="2"/>
  <c r="D32" i="2"/>
  <c r="C32" i="2"/>
  <c r="C38" i="2" s="1"/>
  <c r="B32" i="2"/>
  <c r="A32" i="2"/>
  <c r="A28" i="2"/>
  <c r="A27" i="2"/>
  <c r="A26" i="2"/>
  <c r="A25" i="2"/>
  <c r="A24" i="2"/>
  <c r="A20" i="2"/>
  <c r="A19" i="2"/>
  <c r="A18" i="2"/>
  <c r="A17" i="2"/>
  <c r="A16" i="2"/>
  <c r="D11" i="2"/>
  <c r="C11" i="2"/>
  <c r="B11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J3" i="2"/>
  <c r="J2" i="2"/>
  <c r="L5" i="9" l="1"/>
  <c r="E6" i="4"/>
  <c r="L14" i="11"/>
  <c r="E11" i="3"/>
  <c r="J13" i="8"/>
  <c r="L6" i="7"/>
  <c r="M6" i="12"/>
  <c r="L12" i="9"/>
  <c r="J32" i="6"/>
  <c r="E8" i="4"/>
  <c r="F5" i="8"/>
  <c r="J7" i="8"/>
  <c r="M7" i="12"/>
  <c r="I6" i="7"/>
  <c r="D11" i="4"/>
  <c r="C11" i="4"/>
  <c r="J6" i="12"/>
  <c r="F36" i="2"/>
  <c r="D38" i="2"/>
  <c r="E9" i="4"/>
  <c r="H9" i="6"/>
  <c r="J37" i="6"/>
  <c r="H5" i="6"/>
  <c r="J36" i="6"/>
  <c r="J14" i="12"/>
  <c r="Q15" i="12"/>
  <c r="J13" i="12"/>
  <c r="Q14" i="12"/>
  <c r="N14" i="12"/>
  <c r="Q13" i="12"/>
  <c r="J12" i="12"/>
  <c r="J11" i="12"/>
  <c r="Q12" i="12"/>
  <c r="J10" i="12"/>
  <c r="Q11" i="12"/>
  <c r="Q10" i="12"/>
  <c r="N13" i="12"/>
  <c r="J9" i="12"/>
  <c r="Q9" i="12"/>
  <c r="J8" i="12"/>
  <c r="Q8" i="12"/>
  <c r="J7" i="12"/>
  <c r="N12" i="12"/>
  <c r="J5" i="12"/>
  <c r="L5" i="11"/>
  <c r="L8" i="11"/>
  <c r="L6" i="11"/>
  <c r="L7" i="11" s="1"/>
  <c r="L9" i="11"/>
  <c r="L12" i="11"/>
  <c r="L6" i="10"/>
  <c r="I5" i="10"/>
  <c r="L5" i="10" s="1"/>
  <c r="L7" i="10"/>
  <c r="L7" i="9"/>
  <c r="L8" i="9"/>
  <c r="L11" i="9"/>
  <c r="L6" i="9"/>
  <c r="J18" i="8"/>
  <c r="J12" i="8"/>
  <c r="J6" i="8"/>
  <c r="F6" i="8"/>
  <c r="L7" i="7"/>
  <c r="L5" i="7"/>
  <c r="G5" i="7"/>
  <c r="I5" i="7" s="1"/>
  <c r="H15" i="6"/>
  <c r="J38" i="6"/>
  <c r="G11" i="5"/>
  <c r="H7" i="5" s="1"/>
  <c r="B11" i="4"/>
  <c r="E5" i="4"/>
  <c r="B38" i="2"/>
  <c r="F32" i="2"/>
  <c r="D20" i="2"/>
  <c r="C20" i="2"/>
  <c r="B20" i="2"/>
  <c r="D19" i="2"/>
  <c r="C19" i="2"/>
  <c r="B19" i="2"/>
  <c r="D18" i="2"/>
  <c r="C18" i="2"/>
  <c r="B18" i="2"/>
  <c r="C17" i="2"/>
  <c r="B17" i="2"/>
  <c r="D17" i="2"/>
  <c r="D16" i="2"/>
  <c r="C16" i="2"/>
  <c r="B16" i="2"/>
  <c r="E11" i="2"/>
  <c r="I9" i="7"/>
  <c r="I10" i="7"/>
  <c r="I8" i="7"/>
  <c r="I11" i="7"/>
  <c r="I14" i="7"/>
  <c r="I12" i="7"/>
  <c r="I7" i="7"/>
  <c r="L12" i="7" s="1"/>
  <c r="I13" i="7"/>
  <c r="L13" i="7" l="1"/>
  <c r="E20" i="2"/>
  <c r="E18" i="2"/>
  <c r="J5" i="8"/>
  <c r="E16" i="2"/>
  <c r="E28" i="2"/>
  <c r="E24" i="2"/>
  <c r="J10" i="8"/>
  <c r="J16" i="8"/>
  <c r="M14" i="12"/>
  <c r="L10" i="7"/>
  <c r="L11" i="7"/>
  <c r="E11" i="4"/>
  <c r="F38" i="2"/>
  <c r="J29" i="6"/>
  <c r="J21" i="6"/>
  <c r="J22" i="6" s="1"/>
  <c r="J20" i="6"/>
  <c r="M13" i="12"/>
  <c r="E19" i="2"/>
  <c r="M5" i="12"/>
  <c r="M12" i="12"/>
  <c r="J11" i="8"/>
  <c r="J17" i="8"/>
  <c r="H5" i="5"/>
  <c r="H8" i="5"/>
  <c r="H9" i="5"/>
  <c r="H10" i="5"/>
  <c r="H6" i="5"/>
  <c r="C15" i="5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E17" i="2"/>
  <c r="J31" i="6"/>
  <c r="J23" i="6"/>
  <c r="J24" i="6"/>
  <c r="E27" i="2"/>
  <c r="E26" i="2"/>
  <c r="E25" i="2"/>
  <c r="D16" i="5" l="1"/>
  <c r="D17" i="5"/>
  <c r="H11" i="5"/>
  <c r="C18" i="5" l="1"/>
</calcChain>
</file>

<file path=xl/sharedStrings.xml><?xml version="1.0" encoding="utf-8"?>
<sst xmlns="http://schemas.openxmlformats.org/spreadsheetml/2006/main" count="422" uniqueCount="180">
  <si>
    <t>Раздел</t>
  </si>
  <si>
    <t>Содержание</t>
  </si>
  <si>
    <t>Задание 1</t>
  </si>
  <si>
    <t>Кругозор / Горизонт / Общий отчет; расчеты, доли, диаграммы</t>
  </si>
  <si>
    <t>Задание 2</t>
  </si>
  <si>
    <t>Калькуляция стоимости салата</t>
  </si>
  <si>
    <t>Задание 3</t>
  </si>
  <si>
    <t>Абоненты: льготы, долги, анализ по фамилиям и месяцам</t>
  </si>
  <si>
    <t>Задание 4</t>
  </si>
  <si>
    <t>Прокат: просрочка, пеня, дни проката, оплата</t>
  </si>
  <si>
    <t>Задание 5</t>
  </si>
  <si>
    <t>Детские пособия: возраст, выплаты, анализ</t>
  </si>
  <si>
    <t>Задание 6</t>
  </si>
  <si>
    <t>Стаж, надбавки, оплата труда</t>
  </si>
  <si>
    <t>Задание 7</t>
  </si>
  <si>
    <t>Больничные: стаж, оплата, анализ</t>
  </si>
  <si>
    <t>Задание 8</t>
  </si>
  <si>
    <t>Сотрудники: возраст, стаж, надбавки, зарплата</t>
  </si>
  <si>
    <t>Задание 9</t>
  </si>
  <si>
    <t>Больничный лист: стаж, дни, оплата, анализ</t>
  </si>
  <si>
    <t>Задание 10</t>
  </si>
  <si>
    <t>Графики SIN, COS, параболы и кусочной функции</t>
  </si>
  <si>
    <t>Задание 1. Объем продаж книг магазином «Кругозор»</t>
  </si>
  <si>
    <t>Выборочное суммирование</t>
  </si>
  <si>
    <t>1 квартал</t>
  </si>
  <si>
    <t>Техническая + юридическая: январь и февраль</t>
  </si>
  <si>
    <t>Детская + художественная: февраль и март</t>
  </si>
  <si>
    <t>Категория литературы</t>
  </si>
  <si>
    <t>Январь</t>
  </si>
  <si>
    <t>Февраль</t>
  </si>
  <si>
    <t>Март</t>
  </si>
  <si>
    <t>Итого</t>
  </si>
  <si>
    <t>МАКС</t>
  </si>
  <si>
    <t>МИН</t>
  </si>
  <si>
    <t>Техническая</t>
  </si>
  <si>
    <t>Художественная</t>
  </si>
  <si>
    <t>Детская</t>
  </si>
  <si>
    <t>Юридическая</t>
  </si>
  <si>
    <t>Экономическая</t>
  </si>
  <si>
    <t>Доли по каждой категории: месяц / итог категории</t>
  </si>
  <si>
    <t>Категория</t>
  </si>
  <si>
    <t>Доли каждого значения от общей стоимости всей литературы</t>
  </si>
  <si>
    <t>Структура с пустой строкой для расширения: вставка новых категорий/месяцев не требует ручного переписывания итоговой формулы</t>
  </si>
  <si>
    <t>Новый месяц</t>
  </si>
  <si>
    <t>Задание 2. Расчет стоимости продуктов для приготовления салата</t>
  </si>
  <si>
    <t>№</t>
  </si>
  <si>
    <t>Наименование</t>
  </si>
  <si>
    <t>Ед. изм.</t>
  </si>
  <si>
    <t>Цена</t>
  </si>
  <si>
    <t>Кол-во</t>
  </si>
  <si>
    <t>Вес, г</t>
  </si>
  <si>
    <t>Стоимость</t>
  </si>
  <si>
    <t>Состав в %</t>
  </si>
  <si>
    <t>Картофель</t>
  </si>
  <si>
    <t>кг</t>
  </si>
  <si>
    <t>Фасоль</t>
  </si>
  <si>
    <t>Помидоры</t>
  </si>
  <si>
    <t>Рыба</t>
  </si>
  <si>
    <t>банка</t>
  </si>
  <si>
    <t>Капуста</t>
  </si>
  <si>
    <t>Яйца</t>
  </si>
  <si>
    <t>шт</t>
  </si>
  <si>
    <t>ИТОГО:</t>
  </si>
  <si>
    <t>Вес одной порции, г</t>
  </si>
  <si>
    <t>Количество порций</t>
  </si>
  <si>
    <t>Стоимость продуктов одной порции</t>
  </si>
  <si>
    <t>Зарплата сотрудников</t>
  </si>
  <si>
    <t>Накладные расходы</t>
  </si>
  <si>
    <t>Стоимость порции для покупателя</t>
  </si>
  <si>
    <t>Задание 3. Абоненты: льготы, оплата и долги</t>
  </si>
  <si>
    <t>Тариф без льгот</t>
  </si>
  <si>
    <t>Месяц</t>
  </si>
  <si>
    <t>ФИО</t>
  </si>
  <si>
    <t>Номер телефона</t>
  </si>
  <si>
    <t>Льгота</t>
  </si>
  <si>
    <t>Оплата</t>
  </si>
  <si>
    <t>Внесено</t>
  </si>
  <si>
    <t>Долг</t>
  </si>
  <si>
    <t>Иванов И.И.</t>
  </si>
  <si>
    <t>Петров П.П.</t>
  </si>
  <si>
    <t>Сидорова А.А.</t>
  </si>
  <si>
    <t>Кузнецов К.К.</t>
  </si>
  <si>
    <t>Общая сумма внесенной оплаты</t>
  </si>
  <si>
    <t>Общая сумма долга</t>
  </si>
  <si>
    <t>Средний долг</t>
  </si>
  <si>
    <t>Количество абонентов с долгом больше среднего</t>
  </si>
  <si>
    <t>Минимальный долг</t>
  </si>
  <si>
    <t>Максимальный долг</t>
  </si>
  <si>
    <t>Долг по фамилиям</t>
  </si>
  <si>
    <t>Оплата по месяцам</t>
  </si>
  <si>
    <t>Задание 4. Прокат: просрочка, пеня и сумма к оплате</t>
  </si>
  <si>
    <t>Стоимость проката в сутки</t>
  </si>
  <si>
    <t>Дата выдачи</t>
  </si>
  <si>
    <t>Дата сдачи</t>
  </si>
  <si>
    <t>Просрочено дней</t>
  </si>
  <si>
    <t>Пеня</t>
  </si>
  <si>
    <t>Дней в прокате</t>
  </si>
  <si>
    <t>К оплате</t>
  </si>
  <si>
    <t>Анализ</t>
  </si>
  <si>
    <t>Фильм</t>
  </si>
  <si>
    <t>Количество просроченных заказов</t>
  </si>
  <si>
    <t>Игра</t>
  </si>
  <si>
    <t>Минимум дней в прокате</t>
  </si>
  <si>
    <t>Книга</t>
  </si>
  <si>
    <t>Максимум дней в прокате</t>
  </si>
  <si>
    <t>Журнал</t>
  </si>
  <si>
    <t>Задание 5. Детские пособия</t>
  </si>
  <si>
    <t>Минимальный заработок</t>
  </si>
  <si>
    <t>Дата рождения</t>
  </si>
  <si>
    <t>Месяц выплаты пособия</t>
  </si>
  <si>
    <t>Возраст</t>
  </si>
  <si>
    <t>Сумма пособия</t>
  </si>
  <si>
    <t>Иванов</t>
  </si>
  <si>
    <t>Общая сумма пособий</t>
  </si>
  <si>
    <t>Петров</t>
  </si>
  <si>
    <t>Средний возраст</t>
  </si>
  <si>
    <t>Сидорова</t>
  </si>
  <si>
    <t>Количество детей старше 8 лет</t>
  </si>
  <si>
    <t>Кузнецов</t>
  </si>
  <si>
    <t>Задание 6. Стаж, надбавки и оплата труда</t>
  </si>
  <si>
    <t>Место работы</t>
  </si>
  <si>
    <t>Дата поступления</t>
  </si>
  <si>
    <t>Дата увольнения (перевода)</t>
  </si>
  <si>
    <t>Должность</t>
  </si>
  <si>
    <t>Оклад</t>
  </si>
  <si>
    <t>Стаж, лет</t>
  </si>
  <si>
    <t>Надбавка</t>
  </si>
  <si>
    <t>Оплата труда</t>
  </si>
  <si>
    <t>ООО Альфа</t>
  </si>
  <si>
    <t>Инженер</t>
  </si>
  <si>
    <t>Среднемесячная оплата за 2 последних года</t>
  </si>
  <si>
    <t>ООО Бета</t>
  </si>
  <si>
    <t>Менеджер</t>
  </si>
  <si>
    <t>Количество сотрудников с оплатой меньше средней</t>
  </si>
  <si>
    <t>ООО Гамма</t>
  </si>
  <si>
    <t>Минимальная оплата</t>
  </si>
  <si>
    <t>ООО Дельта</t>
  </si>
  <si>
    <t>Аналитик</t>
  </si>
  <si>
    <t>Максимальная оплата</t>
  </si>
  <si>
    <t>ООО Эпсилон</t>
  </si>
  <si>
    <t>ООО Зета</t>
  </si>
  <si>
    <t>Средняя оплата</t>
  </si>
  <si>
    <t>Задание 7. Больничные листы</t>
  </si>
  <si>
    <t>Рабочих дней в месяце</t>
  </si>
  <si>
    <t>Средний заработок</t>
  </si>
  <si>
    <t>Количество больничных дней</t>
  </si>
  <si>
    <t>Стаж</t>
  </si>
  <si>
    <t>К оплате по б/л</t>
  </si>
  <si>
    <t>Общая сумма оплаты больничных</t>
  </si>
  <si>
    <t>Средний стаж</t>
  </si>
  <si>
    <t>Бухгалтер</t>
  </si>
  <si>
    <t>Сотрудников со стажем меньше 8 лет</t>
  </si>
  <si>
    <t>Дизайнер</t>
  </si>
  <si>
    <t>Минимум больничных дней</t>
  </si>
  <si>
    <t>Максимум больничных дней</t>
  </si>
  <si>
    <t>Среднее больничных дней</t>
  </si>
  <si>
    <t>Больничных дней</t>
  </si>
  <si>
    <t>Задание 8. Сотрудники: возраст, стаж и оплата</t>
  </si>
  <si>
    <t>Общая оплата труда</t>
  </si>
  <si>
    <t>Количество с оплатой меньше средней</t>
  </si>
  <si>
    <t>Задание 9. Больничные: даты, стаж, дни и оплата</t>
  </si>
  <si>
    <t>Дата выдачи больничного</t>
  </si>
  <si>
    <t>Дата окончания больничного</t>
  </si>
  <si>
    <t>Дней по больничному листу</t>
  </si>
  <si>
    <t>К оплате по больничному</t>
  </si>
  <si>
    <t>Количество больничных дней для каждого сотрудника</t>
  </si>
  <si>
    <t>Дни</t>
  </si>
  <si>
    <t>Количество сотрудников со стажем &gt; 8 лет</t>
  </si>
  <si>
    <t>Минимальный средний заработок</t>
  </si>
  <si>
    <t>Максимальный средний заработок</t>
  </si>
  <si>
    <t>Количество дней по больничному</t>
  </si>
  <si>
    <t>Задание 10. Графики функций</t>
  </si>
  <si>
    <t>X</t>
  </si>
  <si>
    <t>SIN(X)</t>
  </si>
  <si>
    <t>COS(X)</t>
  </si>
  <si>
    <t>Парабола X^2</t>
  </si>
  <si>
    <t>Z</t>
  </si>
  <si>
    <t>Лабораторная работа №6</t>
  </si>
  <si>
    <t>Магазин «Горизонт» - объем продаж</t>
  </si>
  <si>
    <t>Общий отчет - два магазина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</si>
</sst>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 wrapText="1"/>
    </xf>
    <xf numFmtId="4" fontId="3" fillId="0" borderId="1" xfId="0" applyNumberFormat="1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9" fontId="3" fillId="0" borderId="1" xfId="0" applyNumberFormat="1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10" fontId="3" fillId="0" borderId="1" xfId="0" applyNumberFormat="1" applyFont="1" applyBorder="1" applyAlignment="1">
      <alignment vertical="center" wrapText="1"/>
    </xf>
    <xf numFmtId="2" fontId="3" fillId="0" borderId="1" xfId="0" applyNumberFormat="1" applyFont="1" applyBorder="1"/>
    <xf numFmtId="9" fontId="3" fillId="0" borderId="1" xfId="0" applyNumberFormat="1" applyFont="1" applyBorder="1"/>
    <xf numFmtId="0" fontId="4" fillId="3" borderId="1" xfId="0" applyFont="1" applyFill="1" applyBorder="1" applyAlignment="1">
      <alignment vertical="center" wrapText="1"/>
    </xf>
    <xf numFmtId="4" fontId="4" fillId="3" borderId="1" xfId="0" applyNumberFormat="1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3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Реализация книг в январе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'Задание 1'!$B$4</c:f>
              <c:strCache>
                <c:ptCount val="1"/>
                <c:pt idx="0">
                  <c:v>Январь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'Задание 1'!$A$5:$A$9</c:f>
              <c:strCache>
                <c:ptCount val="5"/>
                <c:pt idx="0">
                  <c:v>Техническая</c:v>
                </c:pt>
                <c:pt idx="1">
                  <c:v>Художественная</c:v>
                </c:pt>
                <c:pt idx="2">
                  <c:v>Детская</c:v>
                </c:pt>
                <c:pt idx="3">
                  <c:v>Юридическая</c:v>
                </c:pt>
                <c:pt idx="4">
                  <c:v>Экономическая</c:v>
                </c:pt>
              </c:strCache>
            </c:strRef>
          </c:cat>
          <c:val>
            <c:numRef>
              <c:f>'Задание 1'!$B$5:$B$9</c:f>
              <c:numCache>
                <c:formatCode>#,##0.00</c:formatCode>
                <c:ptCount val="5"/>
                <c:pt idx="0">
                  <c:v>1234</c:v>
                </c:pt>
                <c:pt idx="1">
                  <c:v>654</c:v>
                </c:pt>
                <c:pt idx="2">
                  <c:v>5432</c:v>
                </c:pt>
                <c:pt idx="3">
                  <c:v>987</c:v>
                </c:pt>
                <c:pt idx="4">
                  <c:v>456.77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C-42E3-9EF8-80009968B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Продажи по данным «Кругозор»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'Задание 1'!$B$4</c:f>
              <c:strCache>
                <c:ptCount val="1"/>
                <c:pt idx="0">
                  <c:v>Январь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'Задание 1'!$A$5:$A$9</c:f>
              <c:strCache>
                <c:ptCount val="5"/>
                <c:pt idx="0">
                  <c:v>Техническая</c:v>
                </c:pt>
                <c:pt idx="1">
                  <c:v>Художественная</c:v>
                </c:pt>
                <c:pt idx="2">
                  <c:v>Детская</c:v>
                </c:pt>
                <c:pt idx="3">
                  <c:v>Юридическая</c:v>
                </c:pt>
                <c:pt idx="4">
                  <c:v>Экономическая</c:v>
                </c:pt>
              </c:strCache>
            </c:strRef>
          </c:cat>
          <c:val>
            <c:numRef>
              <c:f>'Задание 1'!$B$5:$B$9</c:f>
              <c:numCache>
                <c:formatCode>#,##0.00</c:formatCode>
                <c:ptCount val="5"/>
                <c:pt idx="0">
                  <c:v>1234</c:v>
                </c:pt>
                <c:pt idx="1">
                  <c:v>654</c:v>
                </c:pt>
                <c:pt idx="2">
                  <c:v>5432</c:v>
                </c:pt>
                <c:pt idx="3">
                  <c:v>987</c:v>
                </c:pt>
                <c:pt idx="4">
                  <c:v>456.77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1-482D-89D5-4EC7EF92F540}"/>
            </c:ext>
          </c:extLst>
        </c:ser>
        <c:ser>
          <c:idx val="1"/>
          <c:order val="1"/>
          <c:tx>
            <c:strRef>
              <c:f>'Задание 1'!$C$4</c:f>
              <c:strCache>
                <c:ptCount val="1"/>
                <c:pt idx="0">
                  <c:v>Февраль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'Задание 1'!$A$5:$A$9</c:f>
              <c:strCache>
                <c:ptCount val="5"/>
                <c:pt idx="0">
                  <c:v>Техническая</c:v>
                </c:pt>
                <c:pt idx="1">
                  <c:v>Художественная</c:v>
                </c:pt>
                <c:pt idx="2">
                  <c:v>Детская</c:v>
                </c:pt>
                <c:pt idx="3">
                  <c:v>Юридическая</c:v>
                </c:pt>
                <c:pt idx="4">
                  <c:v>Экономическая</c:v>
                </c:pt>
              </c:strCache>
            </c:strRef>
          </c:cat>
          <c:val>
            <c:numRef>
              <c:f>'Задание 1'!$C$5:$C$9</c:f>
              <c:numCache>
                <c:formatCode>#,##0.00</c:formatCode>
                <c:ptCount val="5"/>
                <c:pt idx="0">
                  <c:v>345</c:v>
                </c:pt>
                <c:pt idx="1">
                  <c:v>765</c:v>
                </c:pt>
                <c:pt idx="2">
                  <c:v>555.23</c:v>
                </c:pt>
                <c:pt idx="3">
                  <c:v>785</c:v>
                </c:pt>
                <c:pt idx="4">
                  <c:v>123.45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1-482D-89D5-4EC7EF92F540}"/>
            </c:ext>
          </c:extLst>
        </c:ser>
        <c:ser>
          <c:idx val="2"/>
          <c:order val="2"/>
          <c:tx>
            <c:strRef>
              <c:f>'Задание 1'!$D$4</c:f>
              <c:strCache>
                <c:ptCount val="1"/>
                <c:pt idx="0">
                  <c:v>Март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'Задание 1'!$A$5:$A$9</c:f>
              <c:strCache>
                <c:ptCount val="5"/>
                <c:pt idx="0">
                  <c:v>Техническая</c:v>
                </c:pt>
                <c:pt idx="1">
                  <c:v>Художественная</c:v>
                </c:pt>
                <c:pt idx="2">
                  <c:v>Детская</c:v>
                </c:pt>
                <c:pt idx="3">
                  <c:v>Юридическая</c:v>
                </c:pt>
                <c:pt idx="4">
                  <c:v>Экономическая</c:v>
                </c:pt>
              </c:strCache>
            </c:strRef>
          </c:cat>
          <c:val>
            <c:numRef>
              <c:f>'Задание 1'!$D$5:$D$9</c:f>
              <c:numCache>
                <c:formatCode>#,##0.00</c:formatCode>
                <c:ptCount val="5"/>
                <c:pt idx="0">
                  <c:v>234</c:v>
                </c:pt>
                <c:pt idx="1">
                  <c:v>265</c:v>
                </c:pt>
                <c:pt idx="2">
                  <c:v>444</c:v>
                </c:pt>
                <c:pt idx="3">
                  <c:v>657</c:v>
                </c:pt>
                <c:pt idx="4">
                  <c:v>5454.67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1-482D-89D5-4EC7EF92F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Процентный состав салата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'Задание 2'!$H$4</c:f>
              <c:strCache>
                <c:ptCount val="1"/>
                <c:pt idx="0">
                  <c:v>Состав в %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'Задание 2'!$B$5:$B$10</c:f>
              <c:strCache>
                <c:ptCount val="6"/>
                <c:pt idx="0">
                  <c:v>Картофель</c:v>
                </c:pt>
                <c:pt idx="1">
                  <c:v>Фасоль</c:v>
                </c:pt>
                <c:pt idx="2">
                  <c:v>Помидоры</c:v>
                </c:pt>
                <c:pt idx="3">
                  <c:v>Рыба</c:v>
                </c:pt>
                <c:pt idx="4">
                  <c:v>Капуста</c:v>
                </c:pt>
                <c:pt idx="5">
                  <c:v>Яйца</c:v>
                </c:pt>
              </c:strCache>
            </c:strRef>
          </c:cat>
          <c:val>
            <c:numRef>
              <c:f>'Задание 2'!$H$5:$H$10</c:f>
              <c:numCache>
                <c:formatCode>0.00%</c:formatCode>
                <c:ptCount val="6"/>
                <c:pt idx="0">
                  <c:v>3.3296337402885685E-2</c:v>
                </c:pt>
                <c:pt idx="1">
                  <c:v>6.6592674805771371E-2</c:v>
                </c:pt>
                <c:pt idx="2">
                  <c:v>0.36625971143174252</c:v>
                </c:pt>
                <c:pt idx="3">
                  <c:v>0.3218645948945616</c:v>
                </c:pt>
                <c:pt idx="4">
                  <c:v>0.14983351831298558</c:v>
                </c:pt>
                <c:pt idx="5">
                  <c:v>6.2153163152053277E-2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A-4FCA-9A0D-2E179D5CD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Начисленная и внесенная оплата по месяцам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'Задание 3'!$J$35</c:f>
              <c:strCache>
                <c:ptCount val="1"/>
                <c:pt idx="0">
                  <c:v>Оплата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'Задание 3'!$I$36:$I$38</c:f>
              <c:strCache>
                <c:ptCount val="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</c:strCache>
            </c:strRef>
          </c:cat>
          <c:val>
            <c:numRef>
              <c:f>'Задание 3'!$J$36:$J$38</c:f>
              <c:numCache>
                <c:formatCode>General</c:formatCode>
                <c:ptCount val="3"/>
                <c:pt idx="0">
                  <c:v>3250</c:v>
                </c:pt>
                <c:pt idx="1">
                  <c:v>3000</c:v>
                </c:pt>
                <c:pt idx="2">
                  <c:v>3250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8-40E9-A4AC-37CB5A7E8A7E}"/>
            </c:ext>
          </c:extLst>
        </c:ser>
        <c:ser>
          <c:idx val="1"/>
          <c:order val="1"/>
          <c:tx>
            <c:strRef>
              <c:f>'Задание 3'!$K$35</c:f>
              <c:strCache>
                <c:ptCount val="1"/>
                <c:pt idx="0">
                  <c:v>Внесено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'Задание 3'!$I$36:$I$38</c:f>
              <c:strCache>
                <c:ptCount val="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</c:strCache>
            </c:strRef>
          </c:cat>
          <c:val>
            <c:numRef>
              <c:f>'Задание 3'!$K$36:$K$38</c:f>
              <c:numCache>
                <c:formatCode>General</c:formatCode>
                <c:ptCount val="3"/>
                <c:pt idx="0">
                  <c:v>3100</c:v>
                </c:pt>
                <c:pt idx="1">
                  <c:v>3650</c:v>
                </c:pt>
                <c:pt idx="2">
                  <c:v>3150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8-40E9-A4AC-37CB5A7E8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Сумма к оплате по наименованиям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'Задание 4'!$L$9</c:f>
              <c:strCache>
                <c:ptCount val="1"/>
                <c:pt idx="0">
                  <c:v>К оплате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'Задание 4'!$K$10:$K$13</c:f>
              <c:strCache>
                <c:ptCount val="4"/>
                <c:pt idx="0">
                  <c:v>Фильм</c:v>
                </c:pt>
                <c:pt idx="1">
                  <c:v>Игра</c:v>
                </c:pt>
                <c:pt idx="2">
                  <c:v>Книга</c:v>
                </c:pt>
                <c:pt idx="3">
                  <c:v>Журнал</c:v>
                </c:pt>
              </c:strCache>
            </c:strRef>
          </c:cat>
          <c:val>
            <c:numRef>
              <c:f>'Задание 4'!$L$10:$L$13</c:f>
              <c:numCache>
                <c:formatCode>General</c:formatCode>
                <c:ptCount val="4"/>
                <c:pt idx="0">
                  <c:v>10685.1</c:v>
                </c:pt>
                <c:pt idx="1">
                  <c:v>7921.32</c:v>
                </c:pt>
                <c:pt idx="2">
                  <c:v>2551.5</c:v>
                </c:pt>
                <c:pt idx="3">
                  <c:v>1830.8400000000001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C-4F0F-BD1A-C229E9421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Выплаты пособий по месяцам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'Задание 5'!$J$15</c:f>
              <c:strCache>
                <c:ptCount val="1"/>
                <c:pt idx="0">
                  <c:v>Сумма пособия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'Задание 5'!$I$16:$I$18</c:f>
              <c:strCache>
                <c:ptCount val="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</c:strCache>
            </c:strRef>
          </c:cat>
          <c:val>
            <c:numRef>
              <c:f>'Задание 5'!$J$16:$J$18</c:f>
              <c:numCache>
                <c:formatCode>General</c:formatCode>
                <c:ptCount val="3"/>
                <c:pt idx="0">
                  <c:v>68000</c:v>
                </c:pt>
                <c:pt idx="1">
                  <c:v>28000</c:v>
                </c:pt>
                <c:pt idx="2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3-4236-9752-1AFAB745F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Средняя оплата труда по должностям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'Задание 6'!$L$10</c:f>
              <c:strCache>
                <c:ptCount val="1"/>
                <c:pt idx="0">
                  <c:v>Средняя оплата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'Задание 6'!$K$11:$K$13</c:f>
              <c:strCache>
                <c:ptCount val="3"/>
                <c:pt idx="0">
                  <c:v>Инженер</c:v>
                </c:pt>
                <c:pt idx="1">
                  <c:v>Менеджер</c:v>
                </c:pt>
                <c:pt idx="2">
                  <c:v>Аналитик</c:v>
                </c:pt>
              </c:strCache>
            </c:strRef>
          </c:cat>
          <c:val>
            <c:numRef>
              <c:f>'Задание 6'!$L$11:$L$13</c:f>
              <c:numCache>
                <c:formatCode>General</c:formatCode>
                <c:ptCount val="3"/>
                <c:pt idx="0">
                  <c:v>86833.333333333328</c:v>
                </c:pt>
                <c:pt idx="1">
                  <c:v>81625</c:v>
                </c:pt>
                <c:pt idx="2">
                  <c:v>74750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3-487A-93DD-60BD30545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Количество больничных дней по должностям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'Задание 7'!$O$11</c:f>
              <c:strCache>
                <c:ptCount val="1"/>
                <c:pt idx="0">
                  <c:v>Больничных дней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'Задание 7'!$N$12:$N$15</c:f>
              <c:strCache>
                <c:ptCount val="4"/>
                <c:pt idx="0">
                  <c:v>Инженер</c:v>
                </c:pt>
                <c:pt idx="1">
                  <c:v>Менеджер</c:v>
                </c:pt>
                <c:pt idx="2">
                  <c:v>Бухгалтер</c:v>
                </c:pt>
                <c:pt idx="3">
                  <c:v>Дизайнер</c:v>
                </c:pt>
              </c:strCache>
            </c:strRef>
          </c:cat>
          <c:val>
            <c:numRef>
              <c:f>'Задание 7'!$O$12:$O$15</c:f>
              <c:numCache>
                <c:formatCode>General</c:formatCode>
                <c:ptCount val="4"/>
                <c:pt idx="0">
                  <c:v>17</c:v>
                </c:pt>
                <c:pt idx="1">
                  <c:v>13</c:v>
                </c:pt>
                <c:pt idx="2">
                  <c:v>8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3-4658-BD2B-C22334A06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Средняя оплата по должностям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'Задание 8'!$L$11</c:f>
              <c:strCache>
                <c:ptCount val="1"/>
                <c:pt idx="0">
                  <c:v>Средняя оплата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'Задание 8'!$K$12:$K$14</c:f>
              <c:strCache>
                <c:ptCount val="3"/>
                <c:pt idx="0">
                  <c:v>Инженер</c:v>
                </c:pt>
                <c:pt idx="1">
                  <c:v>Менеджер</c:v>
                </c:pt>
                <c:pt idx="2">
                  <c:v>Бухгалтер</c:v>
                </c:pt>
              </c:strCache>
            </c:strRef>
          </c:cat>
          <c:val>
            <c:numRef>
              <c:f>'Задание 8'!$L$12:$L$14</c:f>
              <c:numCache>
                <c:formatCode>General</c:formatCode>
                <c:ptCount val="3"/>
                <c:pt idx="0">
                  <c:v>104050</c:v>
                </c:pt>
                <c:pt idx="1">
                  <c:v>103783.33333333333</c:v>
                </c:pt>
                <c:pt idx="2">
                  <c:v>84433.333333333328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E-4E17-8847-6AD8870D0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Оплата больничных по месяцам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'Задание 9'!$M$11</c:f>
              <c:strCache>
                <c:ptCount val="1"/>
                <c:pt idx="0">
                  <c:v>К оплате по больничному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'Задание 9'!$L$12:$L$14</c:f>
              <c:strCache>
                <c:ptCount val="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</c:strCache>
            </c:strRef>
          </c:cat>
          <c:val>
            <c:numRef>
              <c:f>'Задание 9'!$M$12:$M$14</c:f>
              <c:numCache>
                <c:formatCode>General</c:formatCode>
                <c:ptCount val="3"/>
                <c:pt idx="0">
                  <c:v>40763.636363636368</c:v>
                </c:pt>
                <c:pt idx="1">
                  <c:v>82909.090909090912</c:v>
                </c:pt>
                <c:pt idx="2">
                  <c:v>52363.636363636368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5-4F61-AFA5-79588D1571A7}"/>
            </c:ext>
          </c:extLst>
        </c:ser>
        <c:ser>
          <c:idx val="1"/>
          <c:order val="1"/>
          <c:tx>
            <c:strRef>
              <c:f>'Задание 9'!$N$11</c:f>
              <c:strCache>
                <c:ptCount val="1"/>
                <c:pt idx="0">
                  <c:v>Количество дней по больничному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'Задание 9'!$L$12:$L$14</c:f>
              <c:strCache>
                <c:ptCount val="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</c:strCache>
            </c:strRef>
          </c:cat>
          <c:val>
            <c:numRef>
              <c:f>'Задание 9'!$N$12:$N$14</c:f>
              <c:numCache>
                <c:formatCode>General</c:formatCode>
                <c:ptCount val="3"/>
                <c:pt idx="0">
                  <c:v>21</c:v>
                </c:pt>
                <c:pt idx="1">
                  <c:v>26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F5-4F61-AFA5-79588D157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SIN(X), X ∈ [-3;3], </a:t>
            </a:r>
            <a:r>
              <a:rPr lang="ru-RU"/>
              <a:t>шаг 0,2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SIN(X)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'Задание 10'!$A$4:$A$34</c:f>
              <c:numCache>
                <c:formatCode>0.0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-2.6</c:v>
                </c:pt>
                <c:pt idx="3">
                  <c:v>-2.4</c:v>
                </c:pt>
                <c:pt idx="4">
                  <c:v>-2.2000000000000002</c:v>
                </c:pt>
                <c:pt idx="5">
                  <c:v>-2</c:v>
                </c:pt>
                <c:pt idx="6">
                  <c:v>-1.8</c:v>
                </c:pt>
                <c:pt idx="7">
                  <c:v>-1.6</c:v>
                </c:pt>
                <c:pt idx="8">
                  <c:v>-1.4</c:v>
                </c:pt>
                <c:pt idx="9">
                  <c:v>-1.2</c:v>
                </c:pt>
                <c:pt idx="10">
                  <c:v>-1</c:v>
                </c:pt>
                <c:pt idx="11">
                  <c:v>-0.79999999999999982</c:v>
                </c:pt>
                <c:pt idx="12">
                  <c:v>-0.59999999999999964</c:v>
                </c:pt>
                <c:pt idx="13">
                  <c:v>-0.39999999999999991</c:v>
                </c:pt>
                <c:pt idx="14">
                  <c:v>-0.19999999999999971</c:v>
                </c:pt>
                <c:pt idx="15">
                  <c:v>0</c:v>
                </c:pt>
                <c:pt idx="16">
                  <c:v>0.20000000000000021</c:v>
                </c:pt>
                <c:pt idx="17">
                  <c:v>0.40000000000000041</c:v>
                </c:pt>
                <c:pt idx="18">
                  <c:v>0.60000000000000009</c:v>
                </c:pt>
                <c:pt idx="19">
                  <c:v>0.80000000000000027</c:v>
                </c:pt>
                <c:pt idx="20">
                  <c:v>1</c:v>
                </c:pt>
                <c:pt idx="21">
                  <c:v>1.2</c:v>
                </c:pt>
                <c:pt idx="22">
                  <c:v>1.4</c:v>
                </c:pt>
                <c:pt idx="23">
                  <c:v>1.600000000000001</c:v>
                </c:pt>
                <c:pt idx="24">
                  <c:v>1.8000000000000009</c:v>
                </c:pt>
                <c:pt idx="25">
                  <c:v>2</c:v>
                </c:pt>
                <c:pt idx="26">
                  <c:v>2.2000000000000002</c:v>
                </c:pt>
                <c:pt idx="27">
                  <c:v>2.4</c:v>
                </c:pt>
                <c:pt idx="28">
                  <c:v>2.600000000000001</c:v>
                </c:pt>
                <c:pt idx="29">
                  <c:v>2.8000000000000012</c:v>
                </c:pt>
                <c:pt idx="30">
                  <c:v>3</c:v>
                </c:pt>
              </c:numCache>
            </c:numRef>
          </c:xVal>
          <c:yVal>
            <c:numRef>
              <c:f>'Задание 10'!$B$4:$B$34</c:f>
              <c:numCache>
                <c:formatCode>General</c:formatCode>
                <c:ptCount val="31"/>
                <c:pt idx="0">
                  <c:v>-0.14112000805986721</c:v>
                </c:pt>
                <c:pt idx="1">
                  <c:v>-0.33498815015590511</c:v>
                </c:pt>
                <c:pt idx="2">
                  <c:v>-0.51550137182146416</c:v>
                </c:pt>
                <c:pt idx="3">
                  <c:v>-0.67546318055115095</c:v>
                </c:pt>
                <c:pt idx="4">
                  <c:v>-0.80849640381959009</c:v>
                </c:pt>
                <c:pt idx="5">
                  <c:v>-0.90929742682568171</c:v>
                </c:pt>
                <c:pt idx="6">
                  <c:v>-0.97384763087819515</c:v>
                </c:pt>
                <c:pt idx="7">
                  <c:v>-0.99957360304150511</c:v>
                </c:pt>
                <c:pt idx="8">
                  <c:v>-0.98544972998846014</c:v>
                </c:pt>
                <c:pt idx="9">
                  <c:v>-0.93203908596722629</c:v>
                </c:pt>
                <c:pt idx="10">
                  <c:v>-0.8414709848078965</c:v>
                </c:pt>
                <c:pt idx="11">
                  <c:v>-0.71735609089952268</c:v>
                </c:pt>
                <c:pt idx="12">
                  <c:v>-0.56464247339503504</c:v>
                </c:pt>
                <c:pt idx="13">
                  <c:v>-0.38941834230865041</c:v>
                </c:pt>
                <c:pt idx="14">
                  <c:v>-0.19866933079506094</c:v>
                </c:pt>
                <c:pt idx="15">
                  <c:v>0</c:v>
                </c:pt>
                <c:pt idx="16">
                  <c:v>0.19866933079506141</c:v>
                </c:pt>
                <c:pt idx="17">
                  <c:v>0.38941834230865086</c:v>
                </c:pt>
                <c:pt idx="18">
                  <c:v>0.56464247339503548</c:v>
                </c:pt>
                <c:pt idx="19">
                  <c:v>0.7173560908995229</c:v>
                </c:pt>
                <c:pt idx="20">
                  <c:v>0.8414709848078965</c:v>
                </c:pt>
                <c:pt idx="21">
                  <c:v>0.93203908596722629</c:v>
                </c:pt>
                <c:pt idx="22">
                  <c:v>0.98544972998846014</c:v>
                </c:pt>
                <c:pt idx="23">
                  <c:v>0.99957360304150511</c:v>
                </c:pt>
                <c:pt idx="24">
                  <c:v>0.97384763087819493</c:v>
                </c:pt>
                <c:pt idx="25">
                  <c:v>0.90929742682568171</c:v>
                </c:pt>
                <c:pt idx="26">
                  <c:v>0.80849640381959009</c:v>
                </c:pt>
                <c:pt idx="27">
                  <c:v>0.67546318055115095</c:v>
                </c:pt>
                <c:pt idx="28">
                  <c:v>0.51550137182146338</c:v>
                </c:pt>
                <c:pt idx="29">
                  <c:v>0.33498815015590383</c:v>
                </c:pt>
                <c:pt idx="30">
                  <c:v>0.14112000805986721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77-4AC3-B3A2-68CC4BF42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SIN(X)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SIN(X) </a:t>
            </a:r>
            <a:r>
              <a:rPr lang="ru-RU"/>
              <a:t>и </a:t>
            </a:r>
            <a:r>
              <a:rPr lang="en-US"/>
              <a:t>COS(X)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SIN(X)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'Задание 10'!$A$4:$A$34</c:f>
              <c:numCache>
                <c:formatCode>0.0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-2.6</c:v>
                </c:pt>
                <c:pt idx="3">
                  <c:v>-2.4</c:v>
                </c:pt>
                <c:pt idx="4">
                  <c:v>-2.2000000000000002</c:v>
                </c:pt>
                <c:pt idx="5">
                  <c:v>-2</c:v>
                </c:pt>
                <c:pt idx="6">
                  <c:v>-1.8</c:v>
                </c:pt>
                <c:pt idx="7">
                  <c:v>-1.6</c:v>
                </c:pt>
                <c:pt idx="8">
                  <c:v>-1.4</c:v>
                </c:pt>
                <c:pt idx="9">
                  <c:v>-1.2</c:v>
                </c:pt>
                <c:pt idx="10">
                  <c:v>-1</c:v>
                </c:pt>
                <c:pt idx="11">
                  <c:v>-0.79999999999999982</c:v>
                </c:pt>
                <c:pt idx="12">
                  <c:v>-0.59999999999999964</c:v>
                </c:pt>
                <c:pt idx="13">
                  <c:v>-0.39999999999999991</c:v>
                </c:pt>
                <c:pt idx="14">
                  <c:v>-0.19999999999999971</c:v>
                </c:pt>
                <c:pt idx="15">
                  <c:v>0</c:v>
                </c:pt>
                <c:pt idx="16">
                  <c:v>0.20000000000000021</c:v>
                </c:pt>
                <c:pt idx="17">
                  <c:v>0.40000000000000041</c:v>
                </c:pt>
                <c:pt idx="18">
                  <c:v>0.60000000000000009</c:v>
                </c:pt>
                <c:pt idx="19">
                  <c:v>0.80000000000000027</c:v>
                </c:pt>
                <c:pt idx="20">
                  <c:v>1</c:v>
                </c:pt>
                <c:pt idx="21">
                  <c:v>1.2</c:v>
                </c:pt>
                <c:pt idx="22">
                  <c:v>1.4</c:v>
                </c:pt>
                <c:pt idx="23">
                  <c:v>1.600000000000001</c:v>
                </c:pt>
                <c:pt idx="24">
                  <c:v>1.8000000000000009</c:v>
                </c:pt>
                <c:pt idx="25">
                  <c:v>2</c:v>
                </c:pt>
                <c:pt idx="26">
                  <c:v>2.2000000000000002</c:v>
                </c:pt>
                <c:pt idx="27">
                  <c:v>2.4</c:v>
                </c:pt>
                <c:pt idx="28">
                  <c:v>2.600000000000001</c:v>
                </c:pt>
                <c:pt idx="29">
                  <c:v>2.8000000000000012</c:v>
                </c:pt>
                <c:pt idx="30">
                  <c:v>3</c:v>
                </c:pt>
              </c:numCache>
            </c:numRef>
          </c:xVal>
          <c:yVal>
            <c:numRef>
              <c:f>'Задание 10'!$B$4:$B$34</c:f>
              <c:numCache>
                <c:formatCode>General</c:formatCode>
                <c:ptCount val="31"/>
                <c:pt idx="0">
                  <c:v>-0.14112000805986721</c:v>
                </c:pt>
                <c:pt idx="1">
                  <c:v>-0.33498815015590511</c:v>
                </c:pt>
                <c:pt idx="2">
                  <c:v>-0.51550137182146416</c:v>
                </c:pt>
                <c:pt idx="3">
                  <c:v>-0.67546318055115095</c:v>
                </c:pt>
                <c:pt idx="4">
                  <c:v>-0.80849640381959009</c:v>
                </c:pt>
                <c:pt idx="5">
                  <c:v>-0.90929742682568171</c:v>
                </c:pt>
                <c:pt idx="6">
                  <c:v>-0.97384763087819515</c:v>
                </c:pt>
                <c:pt idx="7">
                  <c:v>-0.99957360304150511</c:v>
                </c:pt>
                <c:pt idx="8">
                  <c:v>-0.98544972998846014</c:v>
                </c:pt>
                <c:pt idx="9">
                  <c:v>-0.93203908596722629</c:v>
                </c:pt>
                <c:pt idx="10">
                  <c:v>-0.8414709848078965</c:v>
                </c:pt>
                <c:pt idx="11">
                  <c:v>-0.71735609089952268</c:v>
                </c:pt>
                <c:pt idx="12">
                  <c:v>-0.56464247339503504</c:v>
                </c:pt>
                <c:pt idx="13">
                  <c:v>-0.38941834230865041</c:v>
                </c:pt>
                <c:pt idx="14">
                  <c:v>-0.19866933079506094</c:v>
                </c:pt>
                <c:pt idx="15">
                  <c:v>0</c:v>
                </c:pt>
                <c:pt idx="16">
                  <c:v>0.19866933079506141</c:v>
                </c:pt>
                <c:pt idx="17">
                  <c:v>0.38941834230865086</c:v>
                </c:pt>
                <c:pt idx="18">
                  <c:v>0.56464247339503548</c:v>
                </c:pt>
                <c:pt idx="19">
                  <c:v>0.7173560908995229</c:v>
                </c:pt>
                <c:pt idx="20">
                  <c:v>0.8414709848078965</c:v>
                </c:pt>
                <c:pt idx="21">
                  <c:v>0.93203908596722629</c:v>
                </c:pt>
                <c:pt idx="22">
                  <c:v>0.98544972998846014</c:v>
                </c:pt>
                <c:pt idx="23">
                  <c:v>0.99957360304150511</c:v>
                </c:pt>
                <c:pt idx="24">
                  <c:v>0.97384763087819493</c:v>
                </c:pt>
                <c:pt idx="25">
                  <c:v>0.90929742682568171</c:v>
                </c:pt>
                <c:pt idx="26">
                  <c:v>0.80849640381959009</c:v>
                </c:pt>
                <c:pt idx="27">
                  <c:v>0.67546318055115095</c:v>
                </c:pt>
                <c:pt idx="28">
                  <c:v>0.51550137182146338</c:v>
                </c:pt>
                <c:pt idx="29">
                  <c:v>0.33498815015590383</c:v>
                </c:pt>
                <c:pt idx="30">
                  <c:v>0.14112000805986721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06-4B91-9BD0-65D9E9C98757}"/>
            </c:ext>
          </c:extLst>
        </c:ser>
        <c:ser>
          <c:idx val="1"/>
          <c:order val="1"/>
          <c:tx>
            <c:v>COS(X)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'Задание 10'!$A$4:$A$34</c:f>
              <c:numCache>
                <c:formatCode>0.0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-2.6</c:v>
                </c:pt>
                <c:pt idx="3">
                  <c:v>-2.4</c:v>
                </c:pt>
                <c:pt idx="4">
                  <c:v>-2.2000000000000002</c:v>
                </c:pt>
                <c:pt idx="5">
                  <c:v>-2</c:v>
                </c:pt>
                <c:pt idx="6">
                  <c:v>-1.8</c:v>
                </c:pt>
                <c:pt idx="7">
                  <c:v>-1.6</c:v>
                </c:pt>
                <c:pt idx="8">
                  <c:v>-1.4</c:v>
                </c:pt>
                <c:pt idx="9">
                  <c:v>-1.2</c:v>
                </c:pt>
                <c:pt idx="10">
                  <c:v>-1</c:v>
                </c:pt>
                <c:pt idx="11">
                  <c:v>-0.79999999999999982</c:v>
                </c:pt>
                <c:pt idx="12">
                  <c:v>-0.59999999999999964</c:v>
                </c:pt>
                <c:pt idx="13">
                  <c:v>-0.39999999999999991</c:v>
                </c:pt>
                <c:pt idx="14">
                  <c:v>-0.19999999999999971</c:v>
                </c:pt>
                <c:pt idx="15">
                  <c:v>0</c:v>
                </c:pt>
                <c:pt idx="16">
                  <c:v>0.20000000000000021</c:v>
                </c:pt>
                <c:pt idx="17">
                  <c:v>0.40000000000000041</c:v>
                </c:pt>
                <c:pt idx="18">
                  <c:v>0.60000000000000009</c:v>
                </c:pt>
                <c:pt idx="19">
                  <c:v>0.80000000000000027</c:v>
                </c:pt>
                <c:pt idx="20">
                  <c:v>1</c:v>
                </c:pt>
                <c:pt idx="21">
                  <c:v>1.2</c:v>
                </c:pt>
                <c:pt idx="22">
                  <c:v>1.4</c:v>
                </c:pt>
                <c:pt idx="23">
                  <c:v>1.600000000000001</c:v>
                </c:pt>
                <c:pt idx="24">
                  <c:v>1.8000000000000009</c:v>
                </c:pt>
                <c:pt idx="25">
                  <c:v>2</c:v>
                </c:pt>
                <c:pt idx="26">
                  <c:v>2.2000000000000002</c:v>
                </c:pt>
                <c:pt idx="27">
                  <c:v>2.4</c:v>
                </c:pt>
                <c:pt idx="28">
                  <c:v>2.600000000000001</c:v>
                </c:pt>
                <c:pt idx="29">
                  <c:v>2.8000000000000012</c:v>
                </c:pt>
                <c:pt idx="30">
                  <c:v>3</c:v>
                </c:pt>
              </c:numCache>
            </c:numRef>
          </c:xVal>
          <c:yVal>
            <c:numRef>
              <c:f>'Задание 10'!$C$4:$C$34</c:f>
              <c:numCache>
                <c:formatCode>General</c:formatCode>
                <c:ptCount val="31"/>
                <c:pt idx="0">
                  <c:v>-0.98999249660044542</c:v>
                </c:pt>
                <c:pt idx="1">
                  <c:v>-0.94222234066865806</c:v>
                </c:pt>
                <c:pt idx="2">
                  <c:v>-0.85688875336894732</c:v>
                </c:pt>
                <c:pt idx="3">
                  <c:v>-0.73739371554124544</c:v>
                </c:pt>
                <c:pt idx="4">
                  <c:v>-0.58850111725534582</c:v>
                </c:pt>
                <c:pt idx="5">
                  <c:v>-0.41614683654714241</c:v>
                </c:pt>
                <c:pt idx="6">
                  <c:v>-0.22720209469308711</c:v>
                </c:pt>
                <c:pt idx="7">
                  <c:v>-2.9199522301288815E-2</c:v>
                </c:pt>
                <c:pt idx="8">
                  <c:v>0.16996714290024104</c:v>
                </c:pt>
                <c:pt idx="9">
                  <c:v>0.36235775447667362</c:v>
                </c:pt>
                <c:pt idx="10">
                  <c:v>0.54030230586813977</c:v>
                </c:pt>
                <c:pt idx="11">
                  <c:v>0.6967067093471655</c:v>
                </c:pt>
                <c:pt idx="12">
                  <c:v>0.82533561490967855</c:v>
                </c:pt>
                <c:pt idx="13">
                  <c:v>0.9210609940028851</c:v>
                </c:pt>
                <c:pt idx="14">
                  <c:v>0.98006657784124174</c:v>
                </c:pt>
                <c:pt idx="15">
                  <c:v>1</c:v>
                </c:pt>
                <c:pt idx="16">
                  <c:v>0.98006657784124163</c:v>
                </c:pt>
                <c:pt idx="17">
                  <c:v>0.92106099400288488</c:v>
                </c:pt>
                <c:pt idx="18">
                  <c:v>0.82533561490967822</c:v>
                </c:pt>
                <c:pt idx="19">
                  <c:v>0.69670670934716528</c:v>
                </c:pt>
                <c:pt idx="20">
                  <c:v>0.54030230586813977</c:v>
                </c:pt>
                <c:pt idx="21">
                  <c:v>0.36235775447667362</c:v>
                </c:pt>
                <c:pt idx="22">
                  <c:v>0.16996714290024104</c:v>
                </c:pt>
                <c:pt idx="23">
                  <c:v>-2.9199522301289704E-2</c:v>
                </c:pt>
                <c:pt idx="24">
                  <c:v>-0.22720209469308797</c:v>
                </c:pt>
                <c:pt idx="25">
                  <c:v>-0.41614683654714241</c:v>
                </c:pt>
                <c:pt idx="26">
                  <c:v>-0.58850111725534582</c:v>
                </c:pt>
                <c:pt idx="27">
                  <c:v>-0.73739371554124544</c:v>
                </c:pt>
                <c:pt idx="28">
                  <c:v>-0.85688875336894776</c:v>
                </c:pt>
                <c:pt idx="29">
                  <c:v>-0.94222234066865851</c:v>
                </c:pt>
                <c:pt idx="30">
                  <c:v>-0.98999249660044542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06-4B91-9BD0-65D9E9C98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Значение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Парабола и </a:t>
            </a:r>
            <a:r>
              <a:rPr lang="en-US"/>
              <a:t>SIN(X)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X^2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'Задание 10'!$A$4:$A$34</c:f>
              <c:numCache>
                <c:formatCode>0.0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-2.6</c:v>
                </c:pt>
                <c:pt idx="3">
                  <c:v>-2.4</c:v>
                </c:pt>
                <c:pt idx="4">
                  <c:v>-2.2000000000000002</c:v>
                </c:pt>
                <c:pt idx="5">
                  <c:v>-2</c:v>
                </c:pt>
                <c:pt idx="6">
                  <c:v>-1.8</c:v>
                </c:pt>
                <c:pt idx="7">
                  <c:v>-1.6</c:v>
                </c:pt>
                <c:pt idx="8">
                  <c:v>-1.4</c:v>
                </c:pt>
                <c:pt idx="9">
                  <c:v>-1.2</c:v>
                </c:pt>
                <c:pt idx="10">
                  <c:v>-1</c:v>
                </c:pt>
                <c:pt idx="11">
                  <c:v>-0.79999999999999982</c:v>
                </c:pt>
                <c:pt idx="12">
                  <c:v>-0.59999999999999964</c:v>
                </c:pt>
                <c:pt idx="13">
                  <c:v>-0.39999999999999991</c:v>
                </c:pt>
                <c:pt idx="14">
                  <c:v>-0.19999999999999971</c:v>
                </c:pt>
                <c:pt idx="15">
                  <c:v>0</c:v>
                </c:pt>
                <c:pt idx="16">
                  <c:v>0.20000000000000021</c:v>
                </c:pt>
                <c:pt idx="17">
                  <c:v>0.40000000000000041</c:v>
                </c:pt>
                <c:pt idx="18">
                  <c:v>0.60000000000000009</c:v>
                </c:pt>
                <c:pt idx="19">
                  <c:v>0.80000000000000027</c:v>
                </c:pt>
                <c:pt idx="20">
                  <c:v>1</c:v>
                </c:pt>
                <c:pt idx="21">
                  <c:v>1.2</c:v>
                </c:pt>
                <c:pt idx="22">
                  <c:v>1.4</c:v>
                </c:pt>
                <c:pt idx="23">
                  <c:v>1.600000000000001</c:v>
                </c:pt>
                <c:pt idx="24">
                  <c:v>1.8000000000000009</c:v>
                </c:pt>
                <c:pt idx="25">
                  <c:v>2</c:v>
                </c:pt>
                <c:pt idx="26">
                  <c:v>2.2000000000000002</c:v>
                </c:pt>
                <c:pt idx="27">
                  <c:v>2.4</c:v>
                </c:pt>
                <c:pt idx="28">
                  <c:v>2.600000000000001</c:v>
                </c:pt>
                <c:pt idx="29">
                  <c:v>2.8000000000000012</c:v>
                </c:pt>
                <c:pt idx="30">
                  <c:v>3</c:v>
                </c:pt>
              </c:numCache>
            </c:numRef>
          </c:xVal>
          <c:yVal>
            <c:numRef>
              <c:f>'Задание 10'!$D$4:$D$34</c:f>
              <c:numCache>
                <c:formatCode>General</c:formatCode>
                <c:ptCount val="31"/>
                <c:pt idx="0">
                  <c:v>9</c:v>
                </c:pt>
                <c:pt idx="1">
                  <c:v>7.839999999999999</c:v>
                </c:pt>
                <c:pt idx="2">
                  <c:v>6.7600000000000007</c:v>
                </c:pt>
                <c:pt idx="3">
                  <c:v>5.76</c:v>
                </c:pt>
                <c:pt idx="4">
                  <c:v>4.8400000000000007</c:v>
                </c:pt>
                <c:pt idx="5">
                  <c:v>4</c:v>
                </c:pt>
                <c:pt idx="6">
                  <c:v>3.24</c:v>
                </c:pt>
                <c:pt idx="7">
                  <c:v>2.5600000000000005</c:v>
                </c:pt>
                <c:pt idx="8">
                  <c:v>1.9599999999999997</c:v>
                </c:pt>
                <c:pt idx="9">
                  <c:v>1.44</c:v>
                </c:pt>
                <c:pt idx="10">
                  <c:v>1</c:v>
                </c:pt>
                <c:pt idx="11">
                  <c:v>0.63999999999999968</c:v>
                </c:pt>
                <c:pt idx="12">
                  <c:v>0.3599999999999996</c:v>
                </c:pt>
                <c:pt idx="13">
                  <c:v>0.15999999999999992</c:v>
                </c:pt>
                <c:pt idx="14">
                  <c:v>3.9999999999999883E-2</c:v>
                </c:pt>
                <c:pt idx="15">
                  <c:v>0</c:v>
                </c:pt>
                <c:pt idx="16">
                  <c:v>4.0000000000000084E-2</c:v>
                </c:pt>
                <c:pt idx="17">
                  <c:v>0.16000000000000034</c:v>
                </c:pt>
                <c:pt idx="18">
                  <c:v>0.3600000000000001</c:v>
                </c:pt>
                <c:pt idx="19">
                  <c:v>0.64000000000000046</c:v>
                </c:pt>
                <c:pt idx="20">
                  <c:v>1</c:v>
                </c:pt>
                <c:pt idx="21">
                  <c:v>1.44</c:v>
                </c:pt>
                <c:pt idx="22">
                  <c:v>1.9599999999999997</c:v>
                </c:pt>
                <c:pt idx="23">
                  <c:v>2.5600000000000032</c:v>
                </c:pt>
                <c:pt idx="24">
                  <c:v>3.2400000000000033</c:v>
                </c:pt>
                <c:pt idx="25">
                  <c:v>4</c:v>
                </c:pt>
                <c:pt idx="26">
                  <c:v>4.8400000000000007</c:v>
                </c:pt>
                <c:pt idx="27">
                  <c:v>5.76</c:v>
                </c:pt>
                <c:pt idx="28">
                  <c:v>6.7600000000000051</c:v>
                </c:pt>
                <c:pt idx="29">
                  <c:v>7.8400000000000061</c:v>
                </c:pt>
                <c:pt idx="30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53-4B82-B460-669D710DEFF5}"/>
            </c:ext>
          </c:extLst>
        </c:ser>
        <c:ser>
          <c:idx val="1"/>
          <c:order val="1"/>
          <c:tx>
            <c:v>SIN(X)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'Задание 10'!$A$4:$A$34</c:f>
              <c:numCache>
                <c:formatCode>0.0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-2.6</c:v>
                </c:pt>
                <c:pt idx="3">
                  <c:v>-2.4</c:v>
                </c:pt>
                <c:pt idx="4">
                  <c:v>-2.2000000000000002</c:v>
                </c:pt>
                <c:pt idx="5">
                  <c:v>-2</c:v>
                </c:pt>
                <c:pt idx="6">
                  <c:v>-1.8</c:v>
                </c:pt>
                <c:pt idx="7">
                  <c:v>-1.6</c:v>
                </c:pt>
                <c:pt idx="8">
                  <c:v>-1.4</c:v>
                </c:pt>
                <c:pt idx="9">
                  <c:v>-1.2</c:v>
                </c:pt>
                <c:pt idx="10">
                  <c:v>-1</c:v>
                </c:pt>
                <c:pt idx="11">
                  <c:v>-0.79999999999999982</c:v>
                </c:pt>
                <c:pt idx="12">
                  <c:v>-0.59999999999999964</c:v>
                </c:pt>
                <c:pt idx="13">
                  <c:v>-0.39999999999999991</c:v>
                </c:pt>
                <c:pt idx="14">
                  <c:v>-0.19999999999999971</c:v>
                </c:pt>
                <c:pt idx="15">
                  <c:v>0</c:v>
                </c:pt>
                <c:pt idx="16">
                  <c:v>0.20000000000000021</c:v>
                </c:pt>
                <c:pt idx="17">
                  <c:v>0.40000000000000041</c:v>
                </c:pt>
                <c:pt idx="18">
                  <c:v>0.60000000000000009</c:v>
                </c:pt>
                <c:pt idx="19">
                  <c:v>0.80000000000000027</c:v>
                </c:pt>
                <c:pt idx="20">
                  <c:v>1</c:v>
                </c:pt>
                <c:pt idx="21">
                  <c:v>1.2</c:v>
                </c:pt>
                <c:pt idx="22">
                  <c:v>1.4</c:v>
                </c:pt>
                <c:pt idx="23">
                  <c:v>1.600000000000001</c:v>
                </c:pt>
                <c:pt idx="24">
                  <c:v>1.8000000000000009</c:v>
                </c:pt>
                <c:pt idx="25">
                  <c:v>2</c:v>
                </c:pt>
                <c:pt idx="26">
                  <c:v>2.2000000000000002</c:v>
                </c:pt>
                <c:pt idx="27">
                  <c:v>2.4</c:v>
                </c:pt>
                <c:pt idx="28">
                  <c:v>2.600000000000001</c:v>
                </c:pt>
                <c:pt idx="29">
                  <c:v>2.8000000000000012</c:v>
                </c:pt>
                <c:pt idx="30">
                  <c:v>3</c:v>
                </c:pt>
              </c:numCache>
            </c:numRef>
          </c:xVal>
          <c:yVal>
            <c:numRef>
              <c:f>'Задание 10'!$B$4:$B$34</c:f>
              <c:numCache>
                <c:formatCode>General</c:formatCode>
                <c:ptCount val="31"/>
                <c:pt idx="0">
                  <c:v>-0.14112000805986721</c:v>
                </c:pt>
                <c:pt idx="1">
                  <c:v>-0.33498815015590511</c:v>
                </c:pt>
                <c:pt idx="2">
                  <c:v>-0.51550137182146416</c:v>
                </c:pt>
                <c:pt idx="3">
                  <c:v>-0.67546318055115095</c:v>
                </c:pt>
                <c:pt idx="4">
                  <c:v>-0.80849640381959009</c:v>
                </c:pt>
                <c:pt idx="5">
                  <c:v>-0.90929742682568171</c:v>
                </c:pt>
                <c:pt idx="6">
                  <c:v>-0.97384763087819515</c:v>
                </c:pt>
                <c:pt idx="7">
                  <c:v>-0.99957360304150511</c:v>
                </c:pt>
                <c:pt idx="8">
                  <c:v>-0.98544972998846014</c:v>
                </c:pt>
                <c:pt idx="9">
                  <c:v>-0.93203908596722629</c:v>
                </c:pt>
                <c:pt idx="10">
                  <c:v>-0.8414709848078965</c:v>
                </c:pt>
                <c:pt idx="11">
                  <c:v>-0.71735609089952268</c:v>
                </c:pt>
                <c:pt idx="12">
                  <c:v>-0.56464247339503504</c:v>
                </c:pt>
                <c:pt idx="13">
                  <c:v>-0.38941834230865041</c:v>
                </c:pt>
                <c:pt idx="14">
                  <c:v>-0.19866933079506094</c:v>
                </c:pt>
                <c:pt idx="15">
                  <c:v>0</c:v>
                </c:pt>
                <c:pt idx="16">
                  <c:v>0.19866933079506141</c:v>
                </c:pt>
                <c:pt idx="17">
                  <c:v>0.38941834230865086</c:v>
                </c:pt>
                <c:pt idx="18">
                  <c:v>0.56464247339503548</c:v>
                </c:pt>
                <c:pt idx="19">
                  <c:v>0.7173560908995229</c:v>
                </c:pt>
                <c:pt idx="20">
                  <c:v>0.8414709848078965</c:v>
                </c:pt>
                <c:pt idx="21">
                  <c:v>0.93203908596722629</c:v>
                </c:pt>
                <c:pt idx="22">
                  <c:v>0.98544972998846014</c:v>
                </c:pt>
                <c:pt idx="23">
                  <c:v>0.99957360304150511</c:v>
                </c:pt>
                <c:pt idx="24">
                  <c:v>0.97384763087819493</c:v>
                </c:pt>
                <c:pt idx="25">
                  <c:v>0.90929742682568171</c:v>
                </c:pt>
                <c:pt idx="26">
                  <c:v>0.80849640381959009</c:v>
                </c:pt>
                <c:pt idx="27">
                  <c:v>0.67546318055115095</c:v>
                </c:pt>
                <c:pt idx="28">
                  <c:v>0.51550137182146338</c:v>
                </c:pt>
                <c:pt idx="29">
                  <c:v>0.33498815015590383</c:v>
                </c:pt>
                <c:pt idx="30">
                  <c:v>0.14112000805986721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53-4B82-B460-669D710DE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Кусочная функция </a:t>
            </a:r>
            <a:r>
              <a:rPr lang="en-US"/>
              <a:t>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'Задание 10'!$A$4:$A$34</c:f>
              <c:numCache>
                <c:formatCode>0.0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-2.6</c:v>
                </c:pt>
                <c:pt idx="3">
                  <c:v>-2.4</c:v>
                </c:pt>
                <c:pt idx="4">
                  <c:v>-2.2000000000000002</c:v>
                </c:pt>
                <c:pt idx="5">
                  <c:v>-2</c:v>
                </c:pt>
                <c:pt idx="6">
                  <c:v>-1.8</c:v>
                </c:pt>
                <c:pt idx="7">
                  <c:v>-1.6</c:v>
                </c:pt>
                <c:pt idx="8">
                  <c:v>-1.4</c:v>
                </c:pt>
                <c:pt idx="9">
                  <c:v>-1.2</c:v>
                </c:pt>
                <c:pt idx="10">
                  <c:v>-1</c:v>
                </c:pt>
                <c:pt idx="11">
                  <c:v>-0.79999999999999982</c:v>
                </c:pt>
                <c:pt idx="12">
                  <c:v>-0.59999999999999964</c:v>
                </c:pt>
                <c:pt idx="13">
                  <c:v>-0.39999999999999991</c:v>
                </c:pt>
                <c:pt idx="14">
                  <c:v>-0.19999999999999971</c:v>
                </c:pt>
                <c:pt idx="15">
                  <c:v>0</c:v>
                </c:pt>
                <c:pt idx="16">
                  <c:v>0.20000000000000021</c:v>
                </c:pt>
                <c:pt idx="17">
                  <c:v>0.40000000000000041</c:v>
                </c:pt>
                <c:pt idx="18">
                  <c:v>0.60000000000000009</c:v>
                </c:pt>
                <c:pt idx="19">
                  <c:v>0.80000000000000027</c:v>
                </c:pt>
                <c:pt idx="20">
                  <c:v>1</c:v>
                </c:pt>
                <c:pt idx="21">
                  <c:v>1.2</c:v>
                </c:pt>
                <c:pt idx="22">
                  <c:v>1.4</c:v>
                </c:pt>
                <c:pt idx="23">
                  <c:v>1.600000000000001</c:v>
                </c:pt>
                <c:pt idx="24">
                  <c:v>1.8000000000000009</c:v>
                </c:pt>
                <c:pt idx="25">
                  <c:v>2</c:v>
                </c:pt>
                <c:pt idx="26">
                  <c:v>2.2000000000000002</c:v>
                </c:pt>
                <c:pt idx="27">
                  <c:v>2.4</c:v>
                </c:pt>
                <c:pt idx="28">
                  <c:v>2.600000000000001</c:v>
                </c:pt>
                <c:pt idx="29">
                  <c:v>2.8000000000000012</c:v>
                </c:pt>
                <c:pt idx="30">
                  <c:v>3</c:v>
                </c:pt>
              </c:numCache>
            </c:numRef>
          </c:xVal>
          <c:yVal>
            <c:numRef>
              <c:f>'Задание 10'!$E$4:$E$34</c:f>
              <c:numCache>
                <c:formatCode>General</c:formatCode>
                <c:ptCount val="31"/>
                <c:pt idx="0">
                  <c:v>9</c:v>
                </c:pt>
                <c:pt idx="1">
                  <c:v>7.839999999999999</c:v>
                </c:pt>
                <c:pt idx="2">
                  <c:v>6.7600000000000007</c:v>
                </c:pt>
                <c:pt idx="3">
                  <c:v>5.76</c:v>
                </c:pt>
                <c:pt idx="4">
                  <c:v>4.8400000000000007</c:v>
                </c:pt>
                <c:pt idx="5">
                  <c:v>4</c:v>
                </c:pt>
                <c:pt idx="6">
                  <c:v>3.24</c:v>
                </c:pt>
                <c:pt idx="7">
                  <c:v>2.5600000000000005</c:v>
                </c:pt>
                <c:pt idx="8">
                  <c:v>1.9599999999999997</c:v>
                </c:pt>
                <c:pt idx="9">
                  <c:v>1.44</c:v>
                </c:pt>
                <c:pt idx="10">
                  <c:v>1</c:v>
                </c:pt>
                <c:pt idx="11">
                  <c:v>0.63999999999999968</c:v>
                </c:pt>
                <c:pt idx="12">
                  <c:v>0.3599999999999996</c:v>
                </c:pt>
                <c:pt idx="13">
                  <c:v>0.15999999999999992</c:v>
                </c:pt>
                <c:pt idx="14">
                  <c:v>3.9999999999999883E-2</c:v>
                </c:pt>
                <c:pt idx="15">
                  <c:v>0</c:v>
                </c:pt>
                <c:pt idx="16">
                  <c:v>1.0000000000000011</c:v>
                </c:pt>
                <c:pt idx="17">
                  <c:v>2.0000000000000022</c:v>
                </c:pt>
                <c:pt idx="18">
                  <c:v>3.0000000000000004</c:v>
                </c:pt>
                <c:pt idx="19">
                  <c:v>4.0000000000000018</c:v>
                </c:pt>
                <c:pt idx="20">
                  <c:v>5</c:v>
                </c:pt>
                <c:pt idx="21">
                  <c:v>6</c:v>
                </c:pt>
                <c:pt idx="22">
                  <c:v>7</c:v>
                </c:pt>
                <c:pt idx="23">
                  <c:v>8.0000000000000053</c:v>
                </c:pt>
                <c:pt idx="24">
                  <c:v>9.0000000000000053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13.000000000000005</c:v>
                </c:pt>
                <c:pt idx="29">
                  <c:v>14.000000000000005</c:v>
                </c:pt>
                <c:pt idx="30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CD-43DC-B50E-5E98FC42B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9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21</xdr:row>
      <xdr:rowOff>0</xdr:rowOff>
    </xdr:from>
    <xdr:ext cx="540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39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3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3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18</xdr:row>
      <xdr:rowOff>0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18</xdr:col>
      <xdr:colOff>0</xdr:colOff>
      <xdr:row>2</xdr:row>
      <xdr:rowOff>0</xdr:rowOff>
    </xdr:from>
    <xdr:ext cx="39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18</xdr:col>
      <xdr:colOff>0</xdr:colOff>
      <xdr:row>18</xdr:row>
      <xdr:rowOff>0</xdr:rowOff>
    </xdr:from>
    <xdr:ext cx="396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3"/>
  <sheetViews>
    <sheetView showGridLines="0" workbookViewId="0">
      <pane ySplit="3" topLeftCell="A4" activePane="bottomLeft" state="frozen"/>
      <selection pane="bottomLeft" sqref="A1:B1"/>
    </sheetView>
  </sheetViews>
  <sheetFormatPr defaultRowHeight="15" x14ac:dyDescent="0.25"/>
  <cols>
    <col min="1" max="2" width="28" style="7" customWidth="1"/>
    <col min="3" max="3" width="10" style="7" customWidth="1"/>
    <col min="4" max="4" width="28" style="7" customWidth="1"/>
    <col min="5" max="6" width="10" style="7" customWidth="1"/>
    <col min="7" max="16384" width="9.140625" style="7"/>
  </cols>
  <sheetData>
    <row r="1" spans="1:6" ht="18.75" x14ac:dyDescent="0.25">
      <c r="A1" s="20" t="s">
        <v>177</v>
      </c>
      <c r="B1" s="21"/>
      <c r="C1" s="22"/>
      <c r="D1" s="22"/>
      <c r="E1" s="22"/>
      <c r="F1" s="22"/>
    </row>
    <row r="3" spans="1:6" x14ac:dyDescent="0.25">
      <c r="A3" s="8" t="s">
        <v>0</v>
      </c>
      <c r="B3" s="8" t="s">
        <v>1</v>
      </c>
    </row>
    <row r="4" spans="1:6" ht="45" x14ac:dyDescent="0.25">
      <c r="A4" s="9" t="s">
        <v>2</v>
      </c>
      <c r="B4" s="9" t="s">
        <v>3</v>
      </c>
      <c r="D4" s="23"/>
    </row>
    <row r="5" spans="1:6" ht="30" x14ac:dyDescent="0.25">
      <c r="A5" s="9" t="s">
        <v>4</v>
      </c>
      <c r="B5" s="9" t="s">
        <v>5</v>
      </c>
    </row>
    <row r="6" spans="1:6" ht="45" x14ac:dyDescent="0.25">
      <c r="A6" s="9" t="s">
        <v>6</v>
      </c>
      <c r="B6" s="9" t="s">
        <v>7</v>
      </c>
    </row>
    <row r="7" spans="1:6" ht="30" x14ac:dyDescent="0.25">
      <c r="A7" s="9" t="s">
        <v>8</v>
      </c>
      <c r="B7" s="9" t="s">
        <v>9</v>
      </c>
    </row>
    <row r="8" spans="1:6" ht="30" x14ac:dyDescent="0.25">
      <c r="A8" s="9" t="s">
        <v>10</v>
      </c>
      <c r="B8" s="9" t="s">
        <v>11</v>
      </c>
    </row>
    <row r="9" spans="1:6" ht="30" x14ac:dyDescent="0.25">
      <c r="A9" s="9" t="s">
        <v>12</v>
      </c>
      <c r="B9" s="9" t="s">
        <v>13</v>
      </c>
    </row>
    <row r="10" spans="1:6" ht="30" x14ac:dyDescent="0.25">
      <c r="A10" s="9" t="s">
        <v>14</v>
      </c>
      <c r="B10" s="9" t="s">
        <v>15</v>
      </c>
    </row>
    <row r="11" spans="1:6" ht="30" x14ac:dyDescent="0.25">
      <c r="A11" s="9" t="s">
        <v>16</v>
      </c>
      <c r="B11" s="9" t="s">
        <v>17</v>
      </c>
    </row>
    <row r="12" spans="1:6" ht="30" x14ac:dyDescent="0.25">
      <c r="A12" s="9" t="s">
        <v>18</v>
      </c>
      <c r="B12" s="9" t="s">
        <v>19</v>
      </c>
    </row>
    <row r="13" spans="1:6" ht="30" x14ac:dyDescent="0.25">
      <c r="A13" s="9" t="s">
        <v>20</v>
      </c>
      <c r="B13" s="9" t="s">
        <v>21</v>
      </c>
    </row>
  </sheetData>
  <mergeCells count="1">
    <mergeCell ref="A1:B1"/>
  </mergeCells>
  <pageMargins left="0.3" right="0.3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8"/>
  <sheetViews>
    <sheetView showGridLines="0" workbookViewId="0">
      <pane ySplit="3" topLeftCell="A4" activePane="bottomLeft" state="frozen"/>
      <selection pane="bottomLeft" activeCell="A2" sqref="A2"/>
    </sheetView>
  </sheetViews>
  <sheetFormatPr defaultRowHeight="15" x14ac:dyDescent="0.25"/>
  <cols>
    <col min="1" max="1" width="28" style="7" customWidth="1"/>
    <col min="2" max="6" width="15" style="7" customWidth="1"/>
    <col min="7" max="7" width="13" style="7" customWidth="1"/>
    <col min="8" max="8" width="10" style="7" customWidth="1"/>
    <col min="9" max="9" width="28" style="7" customWidth="1"/>
    <col min="10" max="10" width="19" style="7" customWidth="1"/>
    <col min="11" max="16384" width="9.140625" style="7"/>
  </cols>
  <sheetData>
    <row r="1" spans="1:10" x14ac:dyDescent="0.25">
      <c r="A1" s="1" t="s">
        <v>22</v>
      </c>
      <c r="B1" s="6"/>
      <c r="C1" s="6"/>
      <c r="D1" s="6"/>
      <c r="E1" s="6"/>
      <c r="F1" s="6"/>
      <c r="I1" s="9" t="s">
        <v>23</v>
      </c>
      <c r="J1" s="9"/>
    </row>
    <row r="2" spans="1:10" ht="30" x14ac:dyDescent="0.25">
      <c r="A2" s="7" t="s">
        <v>24</v>
      </c>
      <c r="I2" s="9" t="s">
        <v>25</v>
      </c>
      <c r="J2" s="9">
        <f>SUM(B5:C5,B8:C8)</f>
        <v>3351</v>
      </c>
    </row>
    <row r="3" spans="1:10" ht="30" x14ac:dyDescent="0.25">
      <c r="I3" s="9" t="s">
        <v>26</v>
      </c>
      <c r="J3" s="9">
        <f>SUM(C6:D6,C7:D7)</f>
        <v>2029.23</v>
      </c>
    </row>
    <row r="4" spans="1:10" x14ac:dyDescent="0.25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</row>
    <row r="5" spans="1:10" x14ac:dyDescent="0.25">
      <c r="A5" s="9" t="s">
        <v>34</v>
      </c>
      <c r="B5" s="11">
        <v>1234</v>
      </c>
      <c r="C5" s="11">
        <v>345</v>
      </c>
      <c r="D5" s="11">
        <v>234</v>
      </c>
      <c r="E5" s="11">
        <f>SUM(B5:D5)</f>
        <v>1813</v>
      </c>
      <c r="F5" s="11">
        <f>MAX(B5:D5)</f>
        <v>1234</v>
      </c>
      <c r="G5" s="11">
        <f>MIN(B5:D5)</f>
        <v>234</v>
      </c>
    </row>
    <row r="6" spans="1:10" x14ac:dyDescent="0.25">
      <c r="A6" s="9" t="s">
        <v>35</v>
      </c>
      <c r="B6" s="11">
        <v>654</v>
      </c>
      <c r="C6" s="11">
        <v>765</v>
      </c>
      <c r="D6" s="11">
        <v>265</v>
      </c>
      <c r="E6" s="11">
        <f>SUM(B6:D6)</f>
        <v>1684</v>
      </c>
      <c r="F6" s="11">
        <f>MAX(B6:D6)</f>
        <v>765</v>
      </c>
      <c r="G6" s="11">
        <f>MIN(B6:D6)</f>
        <v>265</v>
      </c>
    </row>
    <row r="7" spans="1:10" x14ac:dyDescent="0.25">
      <c r="A7" s="9" t="s">
        <v>36</v>
      </c>
      <c r="B7" s="11">
        <v>5432</v>
      </c>
      <c r="C7" s="11">
        <v>555.23</v>
      </c>
      <c r="D7" s="11">
        <v>444</v>
      </c>
      <c r="E7" s="11">
        <f>SUM(B7:D7)</f>
        <v>6431.23</v>
      </c>
      <c r="F7" s="11">
        <f>MAX(B7:D7)</f>
        <v>5432</v>
      </c>
      <c r="G7" s="11">
        <f>MIN(B7:D7)</f>
        <v>444</v>
      </c>
    </row>
    <row r="8" spans="1:10" x14ac:dyDescent="0.25">
      <c r="A8" s="9" t="s">
        <v>37</v>
      </c>
      <c r="B8" s="11">
        <v>987</v>
      </c>
      <c r="C8" s="11">
        <v>785</v>
      </c>
      <c r="D8" s="11">
        <v>657</v>
      </c>
      <c r="E8" s="11">
        <f>SUM(B8:D8)</f>
        <v>2429</v>
      </c>
      <c r="F8" s="11">
        <f>MAX(B8:D8)</f>
        <v>987</v>
      </c>
      <c r="G8" s="11">
        <f>MIN(B8:D8)</f>
        <v>657</v>
      </c>
    </row>
    <row r="9" spans="1:10" x14ac:dyDescent="0.25">
      <c r="A9" s="9" t="s">
        <v>38</v>
      </c>
      <c r="B9" s="11">
        <v>456.77</v>
      </c>
      <c r="C9" s="11">
        <v>123.45</v>
      </c>
      <c r="D9" s="11">
        <v>5454.67</v>
      </c>
      <c r="E9" s="11">
        <f>SUM(B9:D9)</f>
        <v>6034.89</v>
      </c>
      <c r="F9" s="11">
        <f>MAX(B9:D9)</f>
        <v>5454.67</v>
      </c>
      <c r="G9" s="11">
        <f>MIN(B9:D9)</f>
        <v>123.45</v>
      </c>
    </row>
    <row r="10" spans="1:10" x14ac:dyDescent="0.25">
      <c r="A10" s="9"/>
      <c r="B10" s="11"/>
      <c r="C10" s="11"/>
      <c r="D10" s="11"/>
      <c r="E10" s="11"/>
      <c r="F10" s="11"/>
      <c r="G10" s="11"/>
    </row>
    <row r="11" spans="1:10" x14ac:dyDescent="0.25">
      <c r="A11" s="18" t="s">
        <v>31</v>
      </c>
      <c r="B11" s="19">
        <f>SUM(B5:B9)</f>
        <v>8763.77</v>
      </c>
      <c r="C11" s="19">
        <f>SUM(C5:C9)</f>
        <v>2573.6799999999998</v>
      </c>
      <c r="D11" s="19">
        <f>SUM(D5:D9)</f>
        <v>7054.67</v>
      </c>
      <c r="E11" s="19">
        <f>SUM(E5:E9)</f>
        <v>18392.12</v>
      </c>
      <c r="F11" s="19"/>
      <c r="G11" s="19"/>
    </row>
    <row r="14" spans="1:10" x14ac:dyDescent="0.25">
      <c r="A14" s="7" t="s">
        <v>39</v>
      </c>
    </row>
    <row r="15" spans="1:10" x14ac:dyDescent="0.25">
      <c r="A15" s="8" t="s">
        <v>40</v>
      </c>
      <c r="B15" s="8" t="s">
        <v>28</v>
      </c>
      <c r="C15" s="8" t="s">
        <v>29</v>
      </c>
      <c r="D15" s="8" t="s">
        <v>30</v>
      </c>
      <c r="E15" s="8" t="s">
        <v>31</v>
      </c>
    </row>
    <row r="16" spans="1:10" x14ac:dyDescent="0.25">
      <c r="A16" s="9" t="str">
        <f>A5</f>
        <v>Техническая</v>
      </c>
      <c r="B16" s="15">
        <f t="shared" ref="B16:D20" si="0">B5/$E5</f>
        <v>0.68063982349696639</v>
      </c>
      <c r="C16" s="15">
        <f t="shared" si="0"/>
        <v>0.190292333149476</v>
      </c>
      <c r="D16" s="15">
        <f t="shared" si="0"/>
        <v>0.12906784335355764</v>
      </c>
      <c r="E16" s="15">
        <f>SUM(B16:D16)</f>
        <v>1</v>
      </c>
    </row>
    <row r="17" spans="1:6" x14ac:dyDescent="0.25">
      <c r="A17" s="9" t="str">
        <f>A6</f>
        <v>Художественная</v>
      </c>
      <c r="B17" s="15">
        <f t="shared" si="0"/>
        <v>0.38836104513064135</v>
      </c>
      <c r="C17" s="15">
        <f t="shared" si="0"/>
        <v>0.45427553444180524</v>
      </c>
      <c r="D17" s="15">
        <f t="shared" si="0"/>
        <v>0.15736342042755344</v>
      </c>
      <c r="E17" s="15">
        <f>SUM(B17:D17)</f>
        <v>1</v>
      </c>
    </row>
    <row r="18" spans="1:6" x14ac:dyDescent="0.25">
      <c r="A18" s="9" t="str">
        <f>A7</f>
        <v>Детская</v>
      </c>
      <c r="B18" s="15">
        <f t="shared" si="0"/>
        <v>0.84462847697874288</v>
      </c>
      <c r="C18" s="15">
        <f t="shared" si="0"/>
        <v>8.6333407450829791E-2</v>
      </c>
      <c r="D18" s="15">
        <f t="shared" si="0"/>
        <v>6.9038115570427439E-2</v>
      </c>
      <c r="E18" s="15">
        <f>SUM(B18:D18)</f>
        <v>1</v>
      </c>
    </row>
    <row r="19" spans="1:6" x14ac:dyDescent="0.25">
      <c r="A19" s="9" t="str">
        <f>A8</f>
        <v>Юридическая</v>
      </c>
      <c r="B19" s="15">
        <f t="shared" si="0"/>
        <v>0.40634005763688763</v>
      </c>
      <c r="C19" s="15">
        <f t="shared" si="0"/>
        <v>0.32317826265953065</v>
      </c>
      <c r="D19" s="15">
        <f t="shared" si="0"/>
        <v>0.27048167970358172</v>
      </c>
      <c r="E19" s="15">
        <f>SUM(B19:D19)</f>
        <v>1</v>
      </c>
    </row>
    <row r="20" spans="1:6" x14ac:dyDescent="0.25">
      <c r="A20" s="9" t="str">
        <f>A9</f>
        <v>Экономическая</v>
      </c>
      <c r="B20" s="15">
        <f t="shared" si="0"/>
        <v>7.5688206413041484E-2</v>
      </c>
      <c r="C20" s="15">
        <f t="shared" si="0"/>
        <v>2.04560480804124E-2</v>
      </c>
      <c r="D20" s="15">
        <f t="shared" si="0"/>
        <v>0.90385574550654602</v>
      </c>
      <c r="E20" s="15">
        <f>SUM(B20:D20)</f>
        <v>0.99999999999999989</v>
      </c>
    </row>
    <row r="22" spans="1:6" x14ac:dyDescent="0.25">
      <c r="A22" s="7" t="s">
        <v>41</v>
      </c>
    </row>
    <row r="23" spans="1:6" x14ac:dyDescent="0.25">
      <c r="A23" s="8" t="s">
        <v>40</v>
      </c>
      <c r="B23" s="8" t="s">
        <v>28</v>
      </c>
      <c r="C23" s="8" t="s">
        <v>29</v>
      </c>
      <c r="D23" s="8" t="s">
        <v>30</v>
      </c>
      <c r="E23" s="8" t="s">
        <v>31</v>
      </c>
    </row>
    <row r="24" spans="1:6" x14ac:dyDescent="0.25">
      <c r="A24" s="9" t="str">
        <f>A5</f>
        <v>Техническая</v>
      </c>
      <c r="B24" s="15">
        <f t="shared" ref="B24:E28" si="1">B5/$E$11</f>
        <v>6.7093951105147209E-2</v>
      </c>
      <c r="C24" s="15">
        <f t="shared" si="1"/>
        <v>1.8758033331665952E-2</v>
      </c>
      <c r="D24" s="15">
        <f t="shared" si="1"/>
        <v>1.2722839998869081E-2</v>
      </c>
      <c r="E24" s="15">
        <f t="shared" si="1"/>
        <v>9.8574824435682246E-2</v>
      </c>
    </row>
    <row r="25" spans="1:6" x14ac:dyDescent="0.25">
      <c r="A25" s="9" t="str">
        <f>A6</f>
        <v>Художественная</v>
      </c>
      <c r="B25" s="15">
        <f t="shared" si="1"/>
        <v>3.5558706663505892E-2</v>
      </c>
      <c r="C25" s="15">
        <f t="shared" si="1"/>
        <v>4.1593899996302766E-2</v>
      </c>
      <c r="D25" s="15">
        <f t="shared" si="1"/>
        <v>1.4408344443163704E-2</v>
      </c>
      <c r="E25" s="15">
        <f t="shared" si="1"/>
        <v>9.1560951102972368E-2</v>
      </c>
    </row>
    <row r="26" spans="1:6" x14ac:dyDescent="0.25">
      <c r="A26" s="9" t="str">
        <f>A7</f>
        <v>Детская</v>
      </c>
      <c r="B26" s="15">
        <f t="shared" si="1"/>
        <v>0.2953438755293028</v>
      </c>
      <c r="C26" s="15">
        <f t="shared" si="1"/>
        <v>3.0188472019538806E-2</v>
      </c>
      <c r="D26" s="15">
        <f t="shared" si="1"/>
        <v>2.4140773331187488E-2</v>
      </c>
      <c r="E26" s="15">
        <f t="shared" si="1"/>
        <v>0.34967312088002905</v>
      </c>
    </row>
    <row r="27" spans="1:6" x14ac:dyDescent="0.25">
      <c r="A27" s="9" t="str">
        <f>A8</f>
        <v>Юридическая</v>
      </c>
      <c r="B27" s="15">
        <f t="shared" si="1"/>
        <v>5.3664286661896508E-2</v>
      </c>
      <c r="C27" s="15">
        <f t="shared" si="1"/>
        <v>4.2681322218428332E-2</v>
      </c>
      <c r="D27" s="15">
        <f t="shared" si="1"/>
        <v>3.5721819996824729E-2</v>
      </c>
      <c r="E27" s="15">
        <f t="shared" si="1"/>
        <v>0.13206742887714956</v>
      </c>
    </row>
    <row r="28" spans="1:6" x14ac:dyDescent="0.25">
      <c r="A28" s="9" t="str">
        <f>A9</f>
        <v>Экономическая</v>
      </c>
      <c r="B28" s="15">
        <f t="shared" si="1"/>
        <v>2.4835092420014658E-2</v>
      </c>
      <c r="C28" s="15">
        <f t="shared" si="1"/>
        <v>6.7121136660700347E-3</v>
      </c>
      <c r="D28" s="15">
        <f t="shared" si="1"/>
        <v>0.29657646861808212</v>
      </c>
      <c r="E28" s="15">
        <f t="shared" si="1"/>
        <v>0.32812367470416681</v>
      </c>
    </row>
    <row r="30" spans="1:6" x14ac:dyDescent="0.25">
      <c r="A30" s="7" t="s">
        <v>42</v>
      </c>
    </row>
    <row r="31" spans="1:6" x14ac:dyDescent="0.25">
      <c r="A31" s="8" t="s">
        <v>40</v>
      </c>
      <c r="B31" s="8" t="s">
        <v>28</v>
      </c>
      <c r="C31" s="8" t="s">
        <v>29</v>
      </c>
      <c r="D31" s="8" t="s">
        <v>30</v>
      </c>
      <c r="E31" s="8" t="s">
        <v>43</v>
      </c>
      <c r="F31" s="8" t="s">
        <v>31</v>
      </c>
    </row>
    <row r="32" spans="1:6" x14ac:dyDescent="0.25">
      <c r="A32" s="9" t="str">
        <f t="shared" ref="A32:D36" si="2">A5</f>
        <v>Техническая</v>
      </c>
      <c r="B32" s="9">
        <f t="shared" si="2"/>
        <v>1234</v>
      </c>
      <c r="C32" s="9">
        <f t="shared" si="2"/>
        <v>345</v>
      </c>
      <c r="D32" s="9">
        <f t="shared" si="2"/>
        <v>234</v>
      </c>
      <c r="E32" s="9">
        <v>0</v>
      </c>
      <c r="F32" s="9">
        <f>SUM(B32:E32)</f>
        <v>1813</v>
      </c>
    </row>
    <row r="33" spans="1:6" x14ac:dyDescent="0.25">
      <c r="A33" s="9" t="str">
        <f t="shared" si="2"/>
        <v>Художественная</v>
      </c>
      <c r="B33" s="9">
        <f t="shared" si="2"/>
        <v>654</v>
      </c>
      <c r="C33" s="9">
        <f t="shared" si="2"/>
        <v>765</v>
      </c>
      <c r="D33" s="9">
        <f t="shared" si="2"/>
        <v>265</v>
      </c>
      <c r="E33" s="9">
        <v>0</v>
      </c>
      <c r="F33" s="9">
        <f>SUM(B33:E33)</f>
        <v>1684</v>
      </c>
    </row>
    <row r="34" spans="1:6" x14ac:dyDescent="0.25">
      <c r="A34" s="9" t="str">
        <f t="shared" si="2"/>
        <v>Детская</v>
      </c>
      <c r="B34" s="9">
        <f t="shared" si="2"/>
        <v>5432</v>
      </c>
      <c r="C34" s="9">
        <f t="shared" si="2"/>
        <v>555.23</v>
      </c>
      <c r="D34" s="9">
        <f t="shared" si="2"/>
        <v>444</v>
      </c>
      <c r="E34" s="9">
        <v>0</v>
      </c>
      <c r="F34" s="9">
        <f>SUM(B34:E34)</f>
        <v>6431.23</v>
      </c>
    </row>
    <row r="35" spans="1:6" x14ac:dyDescent="0.25">
      <c r="A35" s="9" t="str">
        <f t="shared" si="2"/>
        <v>Юридическая</v>
      </c>
      <c r="B35" s="9">
        <f t="shared" si="2"/>
        <v>987</v>
      </c>
      <c r="C35" s="9">
        <f t="shared" si="2"/>
        <v>785</v>
      </c>
      <c r="D35" s="9">
        <f t="shared" si="2"/>
        <v>657</v>
      </c>
      <c r="E35" s="9">
        <v>0</v>
      </c>
      <c r="F35" s="9">
        <f>SUM(B35:E35)</f>
        <v>2429</v>
      </c>
    </row>
    <row r="36" spans="1:6" x14ac:dyDescent="0.25">
      <c r="A36" s="9" t="str">
        <f t="shared" si="2"/>
        <v>Экономическая</v>
      </c>
      <c r="B36" s="9">
        <f t="shared" si="2"/>
        <v>456.77</v>
      </c>
      <c r="C36" s="9">
        <f t="shared" si="2"/>
        <v>123.45</v>
      </c>
      <c r="D36" s="9">
        <f t="shared" si="2"/>
        <v>5454.67</v>
      </c>
      <c r="E36" s="9">
        <v>0</v>
      </c>
      <c r="F36" s="9">
        <f>SUM(B36:E36)</f>
        <v>6034.89</v>
      </c>
    </row>
    <row r="37" spans="1:6" x14ac:dyDescent="0.25">
      <c r="A37" s="9"/>
      <c r="B37" s="9"/>
      <c r="C37" s="9"/>
      <c r="D37" s="9"/>
      <c r="E37" s="9"/>
      <c r="F37" s="9"/>
    </row>
    <row r="38" spans="1:6" x14ac:dyDescent="0.25">
      <c r="A38" s="9" t="s">
        <v>31</v>
      </c>
      <c r="B38" s="9">
        <f>SUM(B32:B37)</f>
        <v>8763.77</v>
      </c>
      <c r="C38" s="9">
        <f>SUM(C32:C37)</f>
        <v>2573.6799999999998</v>
      </c>
      <c r="D38" s="9">
        <f>SUM(D32:D37)</f>
        <v>7054.67</v>
      </c>
      <c r="E38" s="9">
        <f>SUM(E32:E37)</f>
        <v>0</v>
      </c>
      <c r="F38" s="9">
        <f>SUM(F32:F37)</f>
        <v>18392.12</v>
      </c>
    </row>
  </sheetData>
  <mergeCells count="1">
    <mergeCell ref="A1:F1"/>
  </mergeCells>
  <pageMargins left="0.3" right="0.3" top="0.5" bottom="0.5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8" style="7" customWidth="1"/>
    <col min="2" max="5" width="13" style="7" customWidth="1"/>
    <col min="6" max="6" width="10" style="7" customWidth="1"/>
    <col min="7" max="16384" width="9.140625" style="7"/>
  </cols>
  <sheetData>
    <row r="1" spans="1:6" x14ac:dyDescent="0.25">
      <c r="A1" s="1" t="s">
        <v>178</v>
      </c>
      <c r="B1" s="6"/>
      <c r="C1" s="6"/>
      <c r="D1" s="6"/>
      <c r="E1" s="6"/>
      <c r="F1" s="6"/>
    </row>
    <row r="4" spans="1:6" x14ac:dyDescent="0.25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</row>
    <row r="5" spans="1:6" x14ac:dyDescent="0.25">
      <c r="A5" s="9" t="s">
        <v>34</v>
      </c>
      <c r="B5" s="9">
        <v>1500</v>
      </c>
      <c r="C5" s="9">
        <v>420</v>
      </c>
      <c r="D5" s="9">
        <v>300</v>
      </c>
      <c r="E5" s="9">
        <f>SUM(B5:D5)</f>
        <v>2220</v>
      </c>
    </row>
    <row r="6" spans="1:6" x14ac:dyDescent="0.25">
      <c r="A6" s="9" t="s">
        <v>35</v>
      </c>
      <c r="B6" s="9">
        <v>800</v>
      </c>
      <c r="C6" s="9">
        <v>710</v>
      </c>
      <c r="D6" s="9">
        <v>310</v>
      </c>
      <c r="E6" s="9">
        <f>SUM(B6:D6)</f>
        <v>1820</v>
      </c>
    </row>
    <row r="7" spans="1:6" x14ac:dyDescent="0.25">
      <c r="A7" s="9" t="s">
        <v>36</v>
      </c>
      <c r="B7" s="9">
        <v>5000</v>
      </c>
      <c r="C7" s="9">
        <v>620</v>
      </c>
      <c r="D7" s="9">
        <v>500</v>
      </c>
      <c r="E7" s="9">
        <f>SUM(B7:D7)</f>
        <v>6120</v>
      </c>
    </row>
    <row r="8" spans="1:6" x14ac:dyDescent="0.25">
      <c r="A8" s="9" t="s">
        <v>37</v>
      </c>
      <c r="B8" s="9">
        <v>1100</v>
      </c>
      <c r="C8" s="9">
        <v>800</v>
      </c>
      <c r="D8" s="9">
        <v>700</v>
      </c>
      <c r="E8" s="9">
        <f>SUM(B8:D8)</f>
        <v>2600</v>
      </c>
    </row>
    <row r="9" spans="1:6" x14ac:dyDescent="0.25">
      <c r="A9" s="9" t="s">
        <v>38</v>
      </c>
      <c r="B9" s="9">
        <v>700</v>
      </c>
      <c r="C9" s="9">
        <v>250</v>
      </c>
      <c r="D9" s="9">
        <v>5200</v>
      </c>
      <c r="E9" s="9">
        <f>SUM(B9:D9)</f>
        <v>6150</v>
      </c>
    </row>
    <row r="10" spans="1:6" x14ac:dyDescent="0.25">
      <c r="A10" s="9"/>
      <c r="B10" s="9"/>
      <c r="C10" s="9"/>
      <c r="D10" s="9"/>
      <c r="E10" s="9"/>
    </row>
    <row r="11" spans="1:6" x14ac:dyDescent="0.25">
      <c r="A11" s="9" t="s">
        <v>31</v>
      </c>
      <c r="B11" s="9">
        <f>SUM(B5:B9)</f>
        <v>9100</v>
      </c>
      <c r="C11" s="9">
        <f>SUM(C5:C9)</f>
        <v>2800</v>
      </c>
      <c r="D11" s="9">
        <f>SUM(D5:D9)</f>
        <v>7010</v>
      </c>
      <c r="E11" s="9">
        <f>SUM(E5:E9)</f>
        <v>18910</v>
      </c>
    </row>
  </sheetData>
  <mergeCells count="1">
    <mergeCell ref="A1:F1"/>
  </mergeCells>
  <pageMargins left="0.3" right="0.3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1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4" width="28" style="7" customWidth="1"/>
    <col min="5" max="5" width="13" style="7" customWidth="1"/>
    <col min="6" max="6" width="10" style="7" customWidth="1"/>
    <col min="7" max="16384" width="9.140625" style="7"/>
  </cols>
  <sheetData>
    <row r="1" spans="1:6" x14ac:dyDescent="0.25">
      <c r="A1" s="1" t="s">
        <v>179</v>
      </c>
      <c r="B1" s="6"/>
      <c r="C1" s="6"/>
      <c r="D1" s="6"/>
      <c r="E1" s="6"/>
      <c r="F1" s="6"/>
    </row>
    <row r="4" spans="1:6" x14ac:dyDescent="0.25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</row>
    <row r="5" spans="1:6" x14ac:dyDescent="0.25">
      <c r="A5" s="9" t="str">
        <f>'Задание 1'!A5</f>
        <v>Техническая</v>
      </c>
      <c r="B5" s="9">
        <f>'Задание 1'!B5+Горизонт!B5</f>
        <v>2734</v>
      </c>
      <c r="C5" s="9">
        <f>'Задание 1'!C5+Горизонт!C5</f>
        <v>765</v>
      </c>
      <c r="D5" s="9">
        <f>'Задание 1'!D5+Горизонт!D5</f>
        <v>534</v>
      </c>
      <c r="E5" s="9">
        <f>SUM(B5:D5)</f>
        <v>4033</v>
      </c>
    </row>
    <row r="6" spans="1:6" x14ac:dyDescent="0.25">
      <c r="A6" s="9" t="str">
        <f>'Задание 1'!A6</f>
        <v>Художественная</v>
      </c>
      <c r="B6" s="9">
        <f>'Задание 1'!B6+Горизонт!B6</f>
        <v>1454</v>
      </c>
      <c r="C6" s="9">
        <f>'Задание 1'!C6+Горизонт!C6</f>
        <v>1475</v>
      </c>
      <c r="D6" s="9">
        <f>'Задание 1'!D6+Горизонт!D6</f>
        <v>575</v>
      </c>
      <c r="E6" s="9">
        <f>SUM(B6:D6)</f>
        <v>3504</v>
      </c>
    </row>
    <row r="7" spans="1:6" x14ac:dyDescent="0.25">
      <c r="A7" s="9" t="str">
        <f>'Задание 1'!A7</f>
        <v>Детская</v>
      </c>
      <c r="B7" s="9">
        <f>'Задание 1'!B7+Горизонт!B7</f>
        <v>10432</v>
      </c>
      <c r="C7" s="9">
        <f>'Задание 1'!C7+Горизонт!C7</f>
        <v>1175.23</v>
      </c>
      <c r="D7" s="9">
        <f>'Задание 1'!D7+Горизонт!D7</f>
        <v>944</v>
      </c>
      <c r="E7" s="9">
        <f>SUM(B7:D7)</f>
        <v>12551.23</v>
      </c>
    </row>
    <row r="8" spans="1:6" x14ac:dyDescent="0.25">
      <c r="A8" s="9" t="str">
        <f>'Задание 1'!A8</f>
        <v>Юридическая</v>
      </c>
      <c r="B8" s="9">
        <f>'Задание 1'!B8+Горизонт!B8</f>
        <v>2087</v>
      </c>
      <c r="C8" s="9">
        <f>'Задание 1'!C8+Горизонт!C8</f>
        <v>1585</v>
      </c>
      <c r="D8" s="9">
        <f>'Задание 1'!D8+Горизонт!D8</f>
        <v>1357</v>
      </c>
      <c r="E8" s="9">
        <f>SUM(B8:D8)</f>
        <v>5029</v>
      </c>
    </row>
    <row r="9" spans="1:6" x14ac:dyDescent="0.25">
      <c r="A9" s="9" t="str">
        <f>'Задание 1'!A9</f>
        <v>Экономическая</v>
      </c>
      <c r="B9" s="9">
        <f>'Задание 1'!B9+Горизонт!B9</f>
        <v>1156.77</v>
      </c>
      <c r="C9" s="9">
        <f>'Задание 1'!C9+Горизонт!C9</f>
        <v>373.45</v>
      </c>
      <c r="D9" s="9">
        <f>'Задание 1'!D9+Горизонт!D9</f>
        <v>10654.67</v>
      </c>
      <c r="E9" s="9">
        <f>SUM(B9:D9)</f>
        <v>12184.89</v>
      </c>
    </row>
    <row r="10" spans="1:6" x14ac:dyDescent="0.25">
      <c r="A10" s="9"/>
      <c r="B10" s="9"/>
      <c r="C10" s="9"/>
      <c r="D10" s="9"/>
      <c r="E10" s="9"/>
    </row>
    <row r="11" spans="1:6" x14ac:dyDescent="0.25">
      <c r="A11" s="9" t="s">
        <v>31</v>
      </c>
      <c r="B11" s="9">
        <f>SUM(B5:B9)</f>
        <v>17863.77</v>
      </c>
      <c r="C11" s="9">
        <f>SUM(C5:C9)</f>
        <v>5373.6799999999994</v>
      </c>
      <c r="D11" s="9">
        <f>SUM(D5:D9)</f>
        <v>14064.67</v>
      </c>
      <c r="E11" s="9">
        <f>SUM(E5:E9)</f>
        <v>37302.119999999995</v>
      </c>
    </row>
  </sheetData>
  <mergeCells count="1">
    <mergeCell ref="A1:F1"/>
  </mergeCells>
  <pageMargins left="0.3" right="0.3" top="0.5" bottom="0.5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8"/>
  <sheetViews>
    <sheetView showGridLines="0" workbookViewId="0">
      <pane ySplit="3" topLeftCell="A4" activePane="bottomLeft" state="frozen"/>
      <selection pane="bottomLeft" activeCell="D34" sqref="D34"/>
    </sheetView>
  </sheetViews>
  <sheetFormatPr defaultRowHeight="15" x14ac:dyDescent="0.25"/>
  <cols>
    <col min="1" max="2" width="28" style="7" customWidth="1"/>
    <col min="3" max="3" width="14" style="7" customWidth="1"/>
    <col min="4" max="4" width="10" style="7" customWidth="1"/>
    <col min="5" max="8" width="14" style="7" customWidth="1"/>
    <col min="9" max="16384" width="9.140625" style="7"/>
  </cols>
  <sheetData>
    <row r="1" spans="1:8" x14ac:dyDescent="0.25">
      <c r="A1" s="1" t="s">
        <v>44</v>
      </c>
      <c r="B1" s="6"/>
      <c r="C1" s="6"/>
      <c r="D1" s="6"/>
      <c r="E1" s="6"/>
      <c r="F1" s="6"/>
    </row>
    <row r="4" spans="1:8" x14ac:dyDescent="0.25">
      <c r="A4" s="8" t="s">
        <v>45</v>
      </c>
      <c r="B4" s="8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8" t="s">
        <v>51</v>
      </c>
      <c r="H4" s="8" t="s">
        <v>52</v>
      </c>
    </row>
    <row r="5" spans="1:8" x14ac:dyDescent="0.25">
      <c r="A5" s="9">
        <v>1</v>
      </c>
      <c r="B5" s="9" t="s">
        <v>53</v>
      </c>
      <c r="C5" s="9" t="s">
        <v>54</v>
      </c>
      <c r="D5" s="11">
        <v>5</v>
      </c>
      <c r="E5" s="9">
        <v>0.3</v>
      </c>
      <c r="F5" s="9">
        <v>300</v>
      </c>
      <c r="G5" s="11">
        <f t="shared" ref="G5:G10" si="0">D5*E5</f>
        <v>1.5</v>
      </c>
      <c r="H5" s="15">
        <f t="shared" ref="H5:H10" si="1">G5/$G$11</f>
        <v>3.3296337402885685E-2</v>
      </c>
    </row>
    <row r="6" spans="1:8" x14ac:dyDescent="0.25">
      <c r="A6" s="9">
        <v>2</v>
      </c>
      <c r="B6" s="9" t="s">
        <v>55</v>
      </c>
      <c r="C6" s="9" t="s">
        <v>54</v>
      </c>
      <c r="D6" s="11">
        <v>12</v>
      </c>
      <c r="E6" s="9">
        <v>0.25</v>
      </c>
      <c r="F6" s="9">
        <v>250</v>
      </c>
      <c r="G6" s="11">
        <f t="shared" si="0"/>
        <v>3</v>
      </c>
      <c r="H6" s="15">
        <f t="shared" si="1"/>
        <v>6.6592674805771371E-2</v>
      </c>
    </row>
    <row r="7" spans="1:8" x14ac:dyDescent="0.25">
      <c r="A7" s="9">
        <v>3</v>
      </c>
      <c r="B7" s="9" t="s">
        <v>56</v>
      </c>
      <c r="C7" s="9" t="s">
        <v>54</v>
      </c>
      <c r="D7" s="11">
        <v>30</v>
      </c>
      <c r="E7" s="9">
        <v>0.55000000000000004</v>
      </c>
      <c r="F7" s="9">
        <v>550</v>
      </c>
      <c r="G7" s="11">
        <f t="shared" si="0"/>
        <v>16.5</v>
      </c>
      <c r="H7" s="15">
        <f t="shared" si="1"/>
        <v>0.36625971143174252</v>
      </c>
    </row>
    <row r="8" spans="1:8" x14ac:dyDescent="0.25">
      <c r="A8" s="9">
        <v>4</v>
      </c>
      <c r="B8" s="9" t="s">
        <v>57</v>
      </c>
      <c r="C8" s="9" t="s">
        <v>58</v>
      </c>
      <c r="D8" s="11">
        <v>14.5</v>
      </c>
      <c r="E8" s="9">
        <v>1</v>
      </c>
      <c r="F8" s="9">
        <v>600</v>
      </c>
      <c r="G8" s="11">
        <f t="shared" si="0"/>
        <v>14.5</v>
      </c>
      <c r="H8" s="15">
        <f t="shared" si="1"/>
        <v>0.3218645948945616</v>
      </c>
    </row>
    <row r="9" spans="1:8" x14ac:dyDescent="0.25">
      <c r="A9" s="9">
        <v>5</v>
      </c>
      <c r="B9" s="9" t="s">
        <v>59</v>
      </c>
      <c r="C9" s="9" t="s">
        <v>54</v>
      </c>
      <c r="D9" s="11">
        <v>9</v>
      </c>
      <c r="E9" s="9">
        <v>0.75</v>
      </c>
      <c r="F9" s="9">
        <v>750</v>
      </c>
      <c r="G9" s="11">
        <f t="shared" si="0"/>
        <v>6.75</v>
      </c>
      <c r="H9" s="15">
        <f t="shared" si="1"/>
        <v>0.14983351831298558</v>
      </c>
    </row>
    <row r="10" spans="1:8" x14ac:dyDescent="0.25">
      <c r="A10" s="9">
        <v>6</v>
      </c>
      <c r="B10" s="9" t="s">
        <v>60</v>
      </c>
      <c r="C10" s="9" t="s">
        <v>61</v>
      </c>
      <c r="D10" s="11">
        <v>1.4</v>
      </c>
      <c r="E10" s="9">
        <v>2</v>
      </c>
      <c r="F10" s="9">
        <v>40</v>
      </c>
      <c r="G10" s="11">
        <f t="shared" si="0"/>
        <v>2.8</v>
      </c>
      <c r="H10" s="15">
        <f t="shared" si="1"/>
        <v>6.2153163152053277E-2</v>
      </c>
    </row>
    <row r="11" spans="1:8" x14ac:dyDescent="0.25">
      <c r="A11" s="9"/>
      <c r="B11" s="9" t="s">
        <v>62</v>
      </c>
      <c r="C11" s="9"/>
      <c r="D11" s="11"/>
      <c r="E11" s="9">
        <f>SUM(E5:E10)</f>
        <v>4.8499999999999996</v>
      </c>
      <c r="F11" s="9">
        <f>SUM(F5:F10)</f>
        <v>2490</v>
      </c>
      <c r="G11" s="11">
        <f>SUM(G5:G10)</f>
        <v>45.05</v>
      </c>
      <c r="H11" s="15">
        <f>SUM(H5:H10)</f>
        <v>1</v>
      </c>
    </row>
    <row r="13" spans="1:8" x14ac:dyDescent="0.25">
      <c r="B13" s="7" t="s">
        <v>63</v>
      </c>
      <c r="C13" s="7">
        <v>100</v>
      </c>
    </row>
    <row r="14" spans="1:8" x14ac:dyDescent="0.25">
      <c r="B14" s="7" t="s">
        <v>64</v>
      </c>
      <c r="C14" s="7">
        <f>F11/C13</f>
        <v>24.9</v>
      </c>
    </row>
    <row r="15" spans="1:8" x14ac:dyDescent="0.25">
      <c r="B15" s="7" t="s">
        <v>65</v>
      </c>
      <c r="C15" s="16">
        <f>G11/C14</f>
        <v>1.8092369477911647</v>
      </c>
    </row>
    <row r="16" spans="1:8" x14ac:dyDescent="0.25">
      <c r="B16" s="7" t="s">
        <v>66</v>
      </c>
      <c r="C16" s="17">
        <v>0.25</v>
      </c>
      <c r="D16" s="16">
        <f>C15*C16</f>
        <v>0.45230923694779118</v>
      </c>
    </row>
    <row r="17" spans="2:4" x14ac:dyDescent="0.25">
      <c r="B17" s="7" t="s">
        <v>67</v>
      </c>
      <c r="C17" s="17">
        <v>0.8</v>
      </c>
      <c r="D17" s="16">
        <f>C15*C17</f>
        <v>1.4473895582329319</v>
      </c>
    </row>
    <row r="18" spans="2:4" x14ac:dyDescent="0.25">
      <c r="B18" s="7" t="s">
        <v>68</v>
      </c>
      <c r="C18" s="16">
        <f>C15+D16+D17</f>
        <v>3.7089357429718879</v>
      </c>
    </row>
  </sheetData>
  <mergeCells count="1">
    <mergeCell ref="A1:F1"/>
  </mergeCells>
  <pageMargins left="0.3" right="0.3" top="0.5" bottom="0.5" header="0.5" footer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38"/>
  <sheetViews>
    <sheetView showGridLines="0" workbookViewId="0">
      <pane ySplit="3" topLeftCell="A4" activePane="bottomLeft" state="frozen"/>
      <selection pane="bottomLeft" activeCell="F28" sqref="F28"/>
    </sheetView>
  </sheetViews>
  <sheetFormatPr defaultRowHeight="15" x14ac:dyDescent="0.25"/>
  <cols>
    <col min="1" max="1" width="28" style="7" customWidth="1"/>
    <col min="2" max="2" width="10" style="7" customWidth="1"/>
    <col min="3" max="3" width="15" style="7" customWidth="1"/>
    <col min="4" max="4" width="16" style="7" customWidth="1"/>
    <col min="5" max="5" width="10" style="7" customWidth="1"/>
    <col min="6" max="6" width="28" style="7" customWidth="1"/>
    <col min="7" max="7" width="10" style="7" customWidth="1"/>
    <col min="8" max="8" width="17" style="7" customWidth="1"/>
    <col min="9" max="9" width="28" style="7" customWidth="1"/>
    <col min="10" max="11" width="27" style="7" customWidth="1"/>
    <col min="12" max="16384" width="9.140625" style="7"/>
  </cols>
  <sheetData>
    <row r="1" spans="1:10" x14ac:dyDescent="0.25">
      <c r="A1" s="1" t="s">
        <v>69</v>
      </c>
      <c r="B1" s="6"/>
      <c r="C1" s="6"/>
      <c r="D1" s="6"/>
      <c r="E1" s="6"/>
      <c r="F1" s="6"/>
    </row>
    <row r="2" spans="1:10" x14ac:dyDescent="0.25">
      <c r="I2" s="7" t="s">
        <v>70</v>
      </c>
      <c r="J2" s="7">
        <v>1000</v>
      </c>
    </row>
    <row r="4" spans="1:10" ht="28.5" x14ac:dyDescent="0.25">
      <c r="A4" s="8" t="s">
        <v>45</v>
      </c>
      <c r="B4" s="8" t="s">
        <v>71</v>
      </c>
      <c r="C4" s="8" t="s">
        <v>72</v>
      </c>
      <c r="D4" s="8" t="s">
        <v>73</v>
      </c>
      <c r="E4" s="8" t="s">
        <v>74</v>
      </c>
      <c r="F4" s="8" t="s">
        <v>75</v>
      </c>
      <c r="G4" s="8" t="s">
        <v>76</v>
      </c>
      <c r="H4" s="8" t="s">
        <v>77</v>
      </c>
    </row>
    <row r="5" spans="1:10" x14ac:dyDescent="0.25">
      <c r="A5" s="9">
        <v>1</v>
      </c>
      <c r="B5" s="9" t="s">
        <v>28</v>
      </c>
      <c r="C5" s="9" t="s">
        <v>78</v>
      </c>
      <c r="D5" s="12">
        <v>8170100000</v>
      </c>
      <c r="E5" s="9">
        <v>0</v>
      </c>
      <c r="F5" s="11">
        <f t="shared" ref="F5:F16" si="0">IF(E5=0,$J$2,IF(E5=1,$J$2*75%,$J$2*50%))</f>
        <v>1000</v>
      </c>
      <c r="G5" s="11">
        <v>700</v>
      </c>
      <c r="H5" s="11">
        <f t="shared" ref="H5:H16" si="1">MAX(F5-G5,0)</f>
        <v>300</v>
      </c>
    </row>
    <row r="6" spans="1:10" x14ac:dyDescent="0.25">
      <c r="A6" s="9">
        <v>2</v>
      </c>
      <c r="B6" s="9" t="s">
        <v>28</v>
      </c>
      <c r="C6" s="9" t="s">
        <v>79</v>
      </c>
      <c r="D6" s="12">
        <v>8170100001</v>
      </c>
      <c r="E6" s="9">
        <v>1</v>
      </c>
      <c r="F6" s="11">
        <f t="shared" si="0"/>
        <v>750</v>
      </c>
      <c r="G6" s="11">
        <v>900</v>
      </c>
      <c r="H6" s="11">
        <f t="shared" si="1"/>
        <v>0</v>
      </c>
    </row>
    <row r="7" spans="1:10" x14ac:dyDescent="0.25">
      <c r="A7" s="9">
        <v>3</v>
      </c>
      <c r="B7" s="9" t="s">
        <v>28</v>
      </c>
      <c r="C7" s="9" t="s">
        <v>80</v>
      </c>
      <c r="D7" s="12">
        <v>8170100002</v>
      </c>
      <c r="E7" s="9">
        <v>2</v>
      </c>
      <c r="F7" s="11">
        <f t="shared" si="0"/>
        <v>500</v>
      </c>
      <c r="G7" s="11">
        <v>850</v>
      </c>
      <c r="H7" s="11">
        <f t="shared" si="1"/>
        <v>0</v>
      </c>
    </row>
    <row r="8" spans="1:10" x14ac:dyDescent="0.25">
      <c r="A8" s="9">
        <v>4</v>
      </c>
      <c r="B8" s="9" t="s">
        <v>28</v>
      </c>
      <c r="C8" s="9" t="s">
        <v>81</v>
      </c>
      <c r="D8" s="12">
        <v>8170100003</v>
      </c>
      <c r="E8" s="9">
        <v>0</v>
      </c>
      <c r="F8" s="11">
        <f t="shared" si="0"/>
        <v>1000</v>
      </c>
      <c r="G8" s="11">
        <v>650</v>
      </c>
      <c r="H8" s="11">
        <f t="shared" si="1"/>
        <v>350</v>
      </c>
    </row>
    <row r="9" spans="1:10" x14ac:dyDescent="0.25">
      <c r="A9" s="9">
        <v>5</v>
      </c>
      <c r="B9" s="9" t="s">
        <v>29</v>
      </c>
      <c r="C9" s="9" t="s">
        <v>78</v>
      </c>
      <c r="D9" s="12">
        <v>8170100004</v>
      </c>
      <c r="E9" s="9">
        <v>1</v>
      </c>
      <c r="F9" s="11">
        <f t="shared" si="0"/>
        <v>750</v>
      </c>
      <c r="G9" s="11">
        <v>1000</v>
      </c>
      <c r="H9" s="11">
        <f t="shared" si="1"/>
        <v>0</v>
      </c>
    </row>
    <row r="10" spans="1:10" x14ac:dyDescent="0.25">
      <c r="A10" s="9">
        <v>6</v>
      </c>
      <c r="B10" s="9" t="s">
        <v>29</v>
      </c>
      <c r="C10" s="9" t="s">
        <v>79</v>
      </c>
      <c r="D10" s="12">
        <v>8170100005</v>
      </c>
      <c r="E10" s="9">
        <v>0</v>
      </c>
      <c r="F10" s="11">
        <f t="shared" si="0"/>
        <v>1000</v>
      </c>
      <c r="G10" s="11">
        <v>800</v>
      </c>
      <c r="H10" s="11">
        <f t="shared" si="1"/>
        <v>200</v>
      </c>
    </row>
    <row r="11" spans="1:10" x14ac:dyDescent="0.25">
      <c r="A11" s="9">
        <v>7</v>
      </c>
      <c r="B11" s="9" t="s">
        <v>29</v>
      </c>
      <c r="C11" s="9" t="s">
        <v>80</v>
      </c>
      <c r="D11" s="12">
        <v>8170100006</v>
      </c>
      <c r="E11" s="9">
        <v>2</v>
      </c>
      <c r="F11" s="11">
        <f t="shared" si="0"/>
        <v>500</v>
      </c>
      <c r="G11" s="11">
        <v>750</v>
      </c>
      <c r="H11" s="11">
        <f t="shared" si="1"/>
        <v>0</v>
      </c>
    </row>
    <row r="12" spans="1:10" x14ac:dyDescent="0.25">
      <c r="A12" s="9">
        <v>8</v>
      </c>
      <c r="B12" s="9" t="s">
        <v>29</v>
      </c>
      <c r="C12" s="9" t="s">
        <v>81</v>
      </c>
      <c r="D12" s="12">
        <v>8170100007</v>
      </c>
      <c r="E12" s="9">
        <v>1</v>
      </c>
      <c r="F12" s="11">
        <f t="shared" si="0"/>
        <v>750</v>
      </c>
      <c r="G12" s="11">
        <v>1100</v>
      </c>
      <c r="H12" s="11">
        <f t="shared" si="1"/>
        <v>0</v>
      </c>
    </row>
    <row r="13" spans="1:10" x14ac:dyDescent="0.25">
      <c r="A13" s="9">
        <v>9</v>
      </c>
      <c r="B13" s="9" t="s">
        <v>30</v>
      </c>
      <c r="C13" s="9" t="s">
        <v>78</v>
      </c>
      <c r="D13" s="12">
        <v>8170100008</v>
      </c>
      <c r="E13" s="9">
        <v>0</v>
      </c>
      <c r="F13" s="11">
        <f t="shared" si="0"/>
        <v>1000</v>
      </c>
      <c r="G13" s="11">
        <v>600</v>
      </c>
      <c r="H13" s="11">
        <f t="shared" si="1"/>
        <v>400</v>
      </c>
    </row>
    <row r="14" spans="1:10" x14ac:dyDescent="0.25">
      <c r="A14" s="9">
        <v>10</v>
      </c>
      <c r="B14" s="9" t="s">
        <v>30</v>
      </c>
      <c r="C14" s="9" t="s">
        <v>79</v>
      </c>
      <c r="D14" s="12">
        <v>8170100009</v>
      </c>
      <c r="E14" s="9">
        <v>2</v>
      </c>
      <c r="F14" s="11">
        <f t="shared" si="0"/>
        <v>500</v>
      </c>
      <c r="G14" s="11">
        <v>950</v>
      </c>
      <c r="H14" s="11">
        <f t="shared" si="1"/>
        <v>0</v>
      </c>
    </row>
    <row r="15" spans="1:10" x14ac:dyDescent="0.25">
      <c r="A15" s="9">
        <v>11</v>
      </c>
      <c r="B15" s="9" t="s">
        <v>30</v>
      </c>
      <c r="C15" s="9" t="s">
        <v>80</v>
      </c>
      <c r="D15" s="12">
        <v>8170100010</v>
      </c>
      <c r="E15" s="9">
        <v>1</v>
      </c>
      <c r="F15" s="11">
        <f t="shared" si="0"/>
        <v>750</v>
      </c>
      <c r="G15" s="11">
        <v>900</v>
      </c>
      <c r="H15" s="11">
        <f t="shared" si="1"/>
        <v>0</v>
      </c>
    </row>
    <row r="16" spans="1:10" x14ac:dyDescent="0.25">
      <c r="A16" s="9">
        <v>12</v>
      </c>
      <c r="B16" s="9" t="s">
        <v>30</v>
      </c>
      <c r="C16" s="9" t="s">
        <v>81</v>
      </c>
      <c r="D16" s="12">
        <v>8170100011</v>
      </c>
      <c r="E16" s="9">
        <v>0</v>
      </c>
      <c r="F16" s="11">
        <f t="shared" si="0"/>
        <v>1000</v>
      </c>
      <c r="G16" s="11">
        <v>700</v>
      </c>
      <c r="H16" s="11">
        <f t="shared" si="1"/>
        <v>300</v>
      </c>
    </row>
    <row r="19" spans="9:10" ht="30" x14ac:dyDescent="0.25">
      <c r="I19" s="9" t="s">
        <v>82</v>
      </c>
      <c r="J19" s="9">
        <f>SUM(G5:G16)</f>
        <v>9900</v>
      </c>
    </row>
    <row r="20" spans="9:10" x14ac:dyDescent="0.25">
      <c r="I20" s="9" t="s">
        <v>83</v>
      </c>
      <c r="J20" s="9">
        <f>SUM(H5:H16)</f>
        <v>1550</v>
      </c>
    </row>
    <row r="21" spans="9:10" x14ac:dyDescent="0.25">
      <c r="I21" s="9" t="s">
        <v>84</v>
      </c>
      <c r="J21" s="9">
        <f>AVERAGE(H5:H16)</f>
        <v>129.16666666666666</v>
      </c>
    </row>
    <row r="22" spans="9:10" ht="30" x14ac:dyDescent="0.25">
      <c r="I22" s="9" t="s">
        <v>85</v>
      </c>
      <c r="J22" s="9">
        <f>COUNTIF(H5:H16,"&gt;"&amp;J21)</f>
        <v>5</v>
      </c>
    </row>
    <row r="23" spans="9:10" x14ac:dyDescent="0.25">
      <c r="I23" s="9" t="s">
        <v>86</v>
      </c>
      <c r="J23" s="9">
        <f>MIN(H5:H16)</f>
        <v>0</v>
      </c>
    </row>
    <row r="24" spans="9:10" x14ac:dyDescent="0.25">
      <c r="I24" s="9" t="s">
        <v>87</v>
      </c>
      <c r="J24" s="9">
        <f>MAX(H5:H16)</f>
        <v>400</v>
      </c>
    </row>
    <row r="27" spans="9:10" x14ac:dyDescent="0.25">
      <c r="I27" s="7" t="s">
        <v>88</v>
      </c>
    </row>
    <row r="28" spans="9:10" x14ac:dyDescent="0.25">
      <c r="I28" s="8" t="s">
        <v>72</v>
      </c>
      <c r="J28" s="8" t="s">
        <v>77</v>
      </c>
    </row>
    <row r="29" spans="9:10" x14ac:dyDescent="0.25">
      <c r="I29" s="9" t="s">
        <v>78</v>
      </c>
      <c r="J29" s="9">
        <f>SUMIF(C5:C16,I29,H5:H16)</f>
        <v>700</v>
      </c>
    </row>
    <row r="30" spans="9:10" x14ac:dyDescent="0.25">
      <c r="I30" s="9" t="s">
        <v>79</v>
      </c>
      <c r="J30" s="9">
        <f>SUMIF(C5:C16,I30,H5:H16)</f>
        <v>200</v>
      </c>
    </row>
    <row r="31" spans="9:10" x14ac:dyDescent="0.25">
      <c r="I31" s="9" t="s">
        <v>80</v>
      </c>
      <c r="J31" s="9">
        <f>SUMIF(C5:C16,I31,H5:H16)</f>
        <v>0</v>
      </c>
    </row>
    <row r="32" spans="9:10" x14ac:dyDescent="0.25">
      <c r="I32" s="9" t="s">
        <v>81</v>
      </c>
      <c r="J32" s="9">
        <f>SUMIF(C5:C16,I32,H5:H16)</f>
        <v>650</v>
      </c>
    </row>
    <row r="34" spans="9:11" x14ac:dyDescent="0.25">
      <c r="I34" s="7" t="s">
        <v>89</v>
      </c>
    </row>
    <row r="35" spans="9:11" x14ac:dyDescent="0.25">
      <c r="I35" s="8" t="s">
        <v>71</v>
      </c>
      <c r="J35" s="8" t="s">
        <v>75</v>
      </c>
      <c r="K35" s="8" t="s">
        <v>76</v>
      </c>
    </row>
    <row r="36" spans="9:11" x14ac:dyDescent="0.25">
      <c r="I36" s="9" t="s">
        <v>28</v>
      </c>
      <c r="J36" s="9">
        <f>SUMIF(B5:B16,I36,F5:F16)</f>
        <v>3250</v>
      </c>
      <c r="K36" s="9">
        <f>SUMIF(B5:B16,I36,G5:G16)</f>
        <v>3100</v>
      </c>
    </row>
    <row r="37" spans="9:11" x14ac:dyDescent="0.25">
      <c r="I37" s="9" t="s">
        <v>29</v>
      </c>
      <c r="J37" s="9">
        <f>SUMIF(B5:B16,I37,F5:F16)</f>
        <v>3000</v>
      </c>
      <c r="K37" s="9">
        <f>SUMIF(B5:B16,I37,G5:G16)</f>
        <v>3650</v>
      </c>
    </row>
    <row r="38" spans="9:11" x14ac:dyDescent="0.25">
      <c r="I38" s="9" t="s">
        <v>30</v>
      </c>
      <c r="J38" s="9">
        <f>SUMIF(B5:B16,I38,F5:F16)</f>
        <v>3250</v>
      </c>
      <c r="K38" s="9">
        <f>SUMIF(B5:B16,I38,G5:G16)</f>
        <v>3150</v>
      </c>
    </row>
  </sheetData>
  <mergeCells count="1">
    <mergeCell ref="A1:F1"/>
  </mergeCells>
  <pageMargins left="0.3" right="0.3" top="0.5" bottom="0.5" header="0.5" footer="0.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4"/>
  <sheetViews>
    <sheetView showGridLines="0" workbookViewId="0">
      <pane ySplit="3" topLeftCell="A4" activePane="bottomLeft" state="frozen"/>
      <selection pane="bottomLeft" activeCell="C25" sqref="A1:XFD1048576"/>
    </sheetView>
  </sheetViews>
  <sheetFormatPr defaultRowHeight="15" x14ac:dyDescent="0.25"/>
  <cols>
    <col min="1" max="1" width="28" style="7" customWidth="1"/>
    <col min="2" max="2" width="14" style="7" customWidth="1"/>
    <col min="3" max="3" width="27" style="7" customWidth="1"/>
    <col min="4" max="4" width="13" style="7" customWidth="1"/>
    <col min="5" max="5" width="12" style="7" customWidth="1"/>
    <col min="6" max="6" width="21" style="7" customWidth="1"/>
    <col min="7" max="7" width="28" style="7" customWidth="1"/>
    <col min="8" max="8" width="16" style="7" customWidth="1"/>
    <col min="9" max="9" width="14" style="7" customWidth="1"/>
    <col min="10" max="10" width="10" style="7" customWidth="1"/>
    <col min="11" max="11" width="28" style="7" customWidth="1"/>
    <col min="12" max="12" width="27" style="7" customWidth="1"/>
    <col min="13" max="16384" width="9.140625" style="7"/>
  </cols>
  <sheetData>
    <row r="1" spans="1:12" x14ac:dyDescent="0.25">
      <c r="A1" s="1" t="s">
        <v>90</v>
      </c>
      <c r="B1" s="6"/>
      <c r="C1" s="6"/>
      <c r="D1" s="6"/>
      <c r="E1" s="6"/>
      <c r="F1" s="6"/>
    </row>
    <row r="4" spans="1:12" ht="28.5" x14ac:dyDescent="0.25">
      <c r="A4" s="8" t="s">
        <v>45</v>
      </c>
      <c r="B4" s="8" t="s">
        <v>46</v>
      </c>
      <c r="C4" s="8" t="s">
        <v>91</v>
      </c>
      <c r="D4" s="8" t="s">
        <v>92</v>
      </c>
      <c r="E4" s="8" t="s">
        <v>93</v>
      </c>
      <c r="F4" s="8" t="s">
        <v>94</v>
      </c>
      <c r="G4" s="8" t="s">
        <v>95</v>
      </c>
      <c r="H4" s="8" t="s">
        <v>96</v>
      </c>
      <c r="I4" s="8" t="s">
        <v>97</v>
      </c>
      <c r="K4" s="7" t="s">
        <v>98</v>
      </c>
    </row>
    <row r="5" spans="1:12" x14ac:dyDescent="0.25">
      <c r="A5" s="9">
        <v>1</v>
      </c>
      <c r="B5" s="9" t="s">
        <v>99</v>
      </c>
      <c r="C5" s="11">
        <v>120</v>
      </c>
      <c r="D5" s="10">
        <v>46276</v>
      </c>
      <c r="E5" s="10">
        <v>46299</v>
      </c>
      <c r="F5" s="9">
        <f t="shared" ref="F5:F14" ca="1" si="0">MAX(TODAY()-E5,0)</f>
        <v>3</v>
      </c>
      <c r="G5" s="11">
        <f t="shared" ref="G5:G14" ca="1" si="1">C5*IF(F5&lt;5,F5*0.0005,IF(F5&lt;=10,5*0.0005+(F5-5)*0.001,5*0.0005+5*0.001+(F5-10)*0.003))</f>
        <v>0.18</v>
      </c>
      <c r="H5" s="9">
        <f t="shared" ref="H5:H14" si="2">E5-D5</f>
        <v>23</v>
      </c>
      <c r="I5" s="11">
        <f t="shared" ref="I5:I14" ca="1" si="3">C5*H5+G5</f>
        <v>2760.18</v>
      </c>
      <c r="K5" s="7" t="s">
        <v>100</v>
      </c>
      <c r="L5" s="7">
        <f ca="1">COUNTIF(F5:F14,"&gt;0")</f>
        <v>10</v>
      </c>
    </row>
    <row r="6" spans="1:12" x14ac:dyDescent="0.25">
      <c r="A6" s="9">
        <v>2</v>
      </c>
      <c r="B6" s="9" t="s">
        <v>101</v>
      </c>
      <c r="C6" s="11">
        <v>80</v>
      </c>
      <c r="D6" s="10">
        <v>46273</v>
      </c>
      <c r="E6" s="10">
        <v>46295</v>
      </c>
      <c r="F6" s="9">
        <f t="shared" ca="1" si="0"/>
        <v>7</v>
      </c>
      <c r="G6" s="11">
        <f t="shared" ca="1" si="1"/>
        <v>0.36000000000000004</v>
      </c>
      <c r="H6" s="9">
        <f t="shared" si="2"/>
        <v>22</v>
      </c>
      <c r="I6" s="11">
        <f t="shared" ca="1" si="3"/>
        <v>1760.36</v>
      </c>
      <c r="K6" s="7" t="s">
        <v>102</v>
      </c>
      <c r="L6" s="7">
        <f>MIN(H5:H14)</f>
        <v>19</v>
      </c>
    </row>
    <row r="7" spans="1:12" x14ac:dyDescent="0.25">
      <c r="A7" s="9">
        <v>3</v>
      </c>
      <c r="B7" s="9" t="s">
        <v>103</v>
      </c>
      <c r="C7" s="11">
        <v>50</v>
      </c>
      <c r="D7" s="10">
        <v>46270</v>
      </c>
      <c r="E7" s="10">
        <v>46290</v>
      </c>
      <c r="F7" s="9">
        <f t="shared" ca="1" si="0"/>
        <v>12</v>
      </c>
      <c r="G7" s="11">
        <f t="shared" ca="1" si="1"/>
        <v>0.67500000000000004</v>
      </c>
      <c r="H7" s="9">
        <f t="shared" si="2"/>
        <v>20</v>
      </c>
      <c r="I7" s="11">
        <f t="shared" ca="1" si="3"/>
        <v>1000.675</v>
      </c>
      <c r="K7" s="7" t="s">
        <v>104</v>
      </c>
      <c r="L7" s="7">
        <f>MAX(H5:H14)</f>
        <v>45</v>
      </c>
    </row>
    <row r="8" spans="1:12" x14ac:dyDescent="0.25">
      <c r="A8" s="9">
        <v>4</v>
      </c>
      <c r="B8" s="9" t="s">
        <v>105</v>
      </c>
      <c r="C8" s="11">
        <v>30</v>
      </c>
      <c r="D8" s="10">
        <v>46267</v>
      </c>
      <c r="E8" s="10">
        <v>46286</v>
      </c>
      <c r="F8" s="9">
        <f t="shared" ca="1" si="0"/>
        <v>16</v>
      </c>
      <c r="G8" s="11">
        <f t="shared" ca="1" si="1"/>
        <v>0.76500000000000001</v>
      </c>
      <c r="H8" s="9">
        <f t="shared" si="2"/>
        <v>19</v>
      </c>
      <c r="I8" s="11">
        <f t="shared" ca="1" si="3"/>
        <v>570.76499999999999</v>
      </c>
    </row>
    <row r="9" spans="1:12" x14ac:dyDescent="0.25">
      <c r="A9" s="9">
        <v>5</v>
      </c>
      <c r="B9" s="9" t="s">
        <v>99</v>
      </c>
      <c r="C9" s="11">
        <v>120</v>
      </c>
      <c r="D9" s="10">
        <v>46264</v>
      </c>
      <c r="E9" s="10">
        <v>46301</v>
      </c>
      <c r="F9" s="9">
        <f t="shared" ca="1" si="0"/>
        <v>1</v>
      </c>
      <c r="G9" s="11">
        <f t="shared" ca="1" si="1"/>
        <v>0.06</v>
      </c>
      <c r="H9" s="9">
        <f t="shared" si="2"/>
        <v>37</v>
      </c>
      <c r="I9" s="11">
        <f t="shared" ca="1" si="3"/>
        <v>4440.0600000000004</v>
      </c>
      <c r="K9" s="8" t="s">
        <v>46</v>
      </c>
      <c r="L9" s="8" t="s">
        <v>97</v>
      </c>
    </row>
    <row r="10" spans="1:12" x14ac:dyDescent="0.25">
      <c r="A10" s="9">
        <v>6</v>
      </c>
      <c r="B10" s="9" t="s">
        <v>101</v>
      </c>
      <c r="C10" s="11">
        <v>80</v>
      </c>
      <c r="D10" s="10">
        <v>46261</v>
      </c>
      <c r="E10" s="10">
        <v>46293</v>
      </c>
      <c r="F10" s="9">
        <f t="shared" ca="1" si="0"/>
        <v>9</v>
      </c>
      <c r="G10" s="11">
        <f t="shared" ca="1" si="1"/>
        <v>0.52</v>
      </c>
      <c r="H10" s="9">
        <f t="shared" si="2"/>
        <v>32</v>
      </c>
      <c r="I10" s="11">
        <f t="shared" ca="1" si="3"/>
        <v>2560.52</v>
      </c>
      <c r="K10" s="9" t="s">
        <v>99</v>
      </c>
      <c r="L10" s="9">
        <f ca="1">SUMIF(B5:B14,K10,I5:I14)</f>
        <v>10685.1</v>
      </c>
    </row>
    <row r="11" spans="1:12" x14ac:dyDescent="0.25">
      <c r="A11" s="9">
        <v>7</v>
      </c>
      <c r="B11" s="9" t="s">
        <v>103</v>
      </c>
      <c r="C11" s="11">
        <v>50</v>
      </c>
      <c r="D11" s="10">
        <v>46258</v>
      </c>
      <c r="E11" s="10">
        <v>46289</v>
      </c>
      <c r="F11" s="9">
        <f t="shared" ca="1" si="0"/>
        <v>13</v>
      </c>
      <c r="G11" s="11">
        <f t="shared" ca="1" si="1"/>
        <v>0.82500000000000007</v>
      </c>
      <c r="H11" s="9">
        <f t="shared" si="2"/>
        <v>31</v>
      </c>
      <c r="I11" s="11">
        <f t="shared" ca="1" si="3"/>
        <v>1550.825</v>
      </c>
      <c r="K11" s="9" t="s">
        <v>101</v>
      </c>
      <c r="L11" s="9">
        <f ca="1">SUMIF(B5:B14,K11,I5:I14)</f>
        <v>7921.32</v>
      </c>
    </row>
    <row r="12" spans="1:12" x14ac:dyDescent="0.25">
      <c r="A12" s="9">
        <v>8</v>
      </c>
      <c r="B12" s="9" t="s">
        <v>105</v>
      </c>
      <c r="C12" s="11">
        <v>30</v>
      </c>
      <c r="D12" s="10">
        <v>46255</v>
      </c>
      <c r="E12" s="10">
        <v>46297</v>
      </c>
      <c r="F12" s="9">
        <f t="shared" ca="1" si="0"/>
        <v>5</v>
      </c>
      <c r="G12" s="11">
        <f t="shared" ca="1" si="1"/>
        <v>7.4999999999999997E-2</v>
      </c>
      <c r="H12" s="9">
        <f t="shared" si="2"/>
        <v>42</v>
      </c>
      <c r="I12" s="11">
        <f t="shared" ca="1" si="3"/>
        <v>1260.075</v>
      </c>
      <c r="K12" s="9" t="s">
        <v>103</v>
      </c>
      <c r="L12" s="9">
        <f ca="1">SUMIF(B5:B14,K12,I5:I14)</f>
        <v>2551.5</v>
      </c>
    </row>
    <row r="13" spans="1:12" x14ac:dyDescent="0.25">
      <c r="A13" s="9">
        <v>9</v>
      </c>
      <c r="B13" s="9" t="s">
        <v>99</v>
      </c>
      <c r="C13" s="11">
        <v>120</v>
      </c>
      <c r="D13" s="10">
        <v>46252</v>
      </c>
      <c r="E13" s="10">
        <v>46281</v>
      </c>
      <c r="F13" s="9">
        <f t="shared" ca="1" si="0"/>
        <v>21</v>
      </c>
      <c r="G13" s="11">
        <f t="shared" ca="1" si="1"/>
        <v>4.8600000000000003</v>
      </c>
      <c r="H13" s="9">
        <f t="shared" si="2"/>
        <v>29</v>
      </c>
      <c r="I13" s="11">
        <f t="shared" ca="1" si="3"/>
        <v>3484.86</v>
      </c>
      <c r="K13" s="9" t="s">
        <v>105</v>
      </c>
      <c r="L13" s="9">
        <f ca="1">SUMIF(B5:B14,K13,I5:I14)</f>
        <v>1830.8400000000001</v>
      </c>
    </row>
    <row r="14" spans="1:12" x14ac:dyDescent="0.25">
      <c r="A14" s="9">
        <v>10</v>
      </c>
      <c r="B14" s="9" t="s">
        <v>101</v>
      </c>
      <c r="C14" s="11">
        <v>80</v>
      </c>
      <c r="D14" s="10">
        <v>46249</v>
      </c>
      <c r="E14" s="10">
        <v>46294</v>
      </c>
      <c r="F14" s="9">
        <f t="shared" ca="1" si="0"/>
        <v>8</v>
      </c>
      <c r="G14" s="11">
        <f t="shared" ca="1" si="1"/>
        <v>0.43999999999999995</v>
      </c>
      <c r="H14" s="9">
        <f t="shared" si="2"/>
        <v>45</v>
      </c>
      <c r="I14" s="11">
        <f t="shared" ca="1" si="3"/>
        <v>3600.44</v>
      </c>
    </row>
  </sheetData>
  <mergeCells count="1">
    <mergeCell ref="A1:F1"/>
  </mergeCells>
  <pageMargins left="0.3" right="0.3" top="0.5" bottom="0.5" header="0.5" footer="0.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8"/>
  <sheetViews>
    <sheetView showGridLines="0" workbookViewId="0">
      <pane ySplit="3" topLeftCell="A4" activePane="bottomLeft" state="frozen"/>
      <selection pane="bottomLeft" activeCell="C23" sqref="A1:XFD1048576"/>
    </sheetView>
  </sheetViews>
  <sheetFormatPr defaultRowHeight="15" x14ac:dyDescent="0.25"/>
  <cols>
    <col min="1" max="1" width="28" style="7" customWidth="1"/>
    <col min="2" max="2" width="10" style="7" customWidth="1"/>
    <col min="3" max="3" width="15" style="7" customWidth="1"/>
    <col min="4" max="4" width="23" style="7" customWidth="1"/>
    <col min="5" max="5" width="27" style="7" customWidth="1"/>
    <col min="6" max="6" width="28" style="7" customWidth="1"/>
    <col min="7" max="8" width="10" style="7" customWidth="1"/>
    <col min="9" max="9" width="28" style="7" customWidth="1"/>
    <col min="10" max="10" width="27" style="7" customWidth="1"/>
    <col min="11" max="16384" width="9.140625" style="7"/>
  </cols>
  <sheetData>
    <row r="1" spans="1:10" x14ac:dyDescent="0.25">
      <c r="A1" s="1" t="s">
        <v>106</v>
      </c>
      <c r="B1" s="6"/>
      <c r="C1" s="6"/>
      <c r="D1" s="6"/>
      <c r="E1" s="6"/>
      <c r="F1" s="6"/>
    </row>
    <row r="2" spans="1:10" x14ac:dyDescent="0.25">
      <c r="I2" s="7" t="s">
        <v>107</v>
      </c>
      <c r="J2" s="7">
        <v>20000</v>
      </c>
    </row>
    <row r="4" spans="1:10" ht="28.5" x14ac:dyDescent="0.25">
      <c r="A4" s="8" t="s">
        <v>45</v>
      </c>
      <c r="B4" s="8" t="s">
        <v>72</v>
      </c>
      <c r="C4" s="8" t="s">
        <v>108</v>
      </c>
      <c r="D4" s="8" t="s">
        <v>109</v>
      </c>
      <c r="E4" s="8" t="s">
        <v>110</v>
      </c>
      <c r="F4" s="8" t="s">
        <v>111</v>
      </c>
    </row>
    <row r="5" spans="1:10" x14ac:dyDescent="0.25">
      <c r="A5" s="9">
        <v>1</v>
      </c>
      <c r="B5" s="9" t="s">
        <v>112</v>
      </c>
      <c r="C5" s="10">
        <v>45667</v>
      </c>
      <c r="D5" s="9" t="s">
        <v>28</v>
      </c>
      <c r="E5" s="9">
        <f t="shared" ref="E5:E14" ca="1" si="0">DATEDIF(C5,TODAY(),"Y")</f>
        <v>1</v>
      </c>
      <c r="F5" s="11">
        <f t="shared" ref="F5:F14" ca="1" si="1">IF(E5&lt;3,$J$2,IF(E5&lt;8,$J$2*80%,IF(E5&lt;=17,$J$2*60%,0)))</f>
        <v>20000</v>
      </c>
      <c r="I5" s="7" t="s">
        <v>113</v>
      </c>
      <c r="J5" s="7">
        <f ca="1">SUM(F5:F14)</f>
        <v>128000</v>
      </c>
    </row>
    <row r="6" spans="1:10" x14ac:dyDescent="0.25">
      <c r="A6" s="9">
        <v>2</v>
      </c>
      <c r="B6" s="9" t="s">
        <v>114</v>
      </c>
      <c r="C6" s="10">
        <v>44321</v>
      </c>
      <c r="D6" s="9" t="s">
        <v>29</v>
      </c>
      <c r="E6" s="9">
        <f t="shared" ca="1" si="0"/>
        <v>5</v>
      </c>
      <c r="F6" s="11">
        <f t="shared" ca="1" si="1"/>
        <v>16000</v>
      </c>
      <c r="I6" s="7" t="s">
        <v>115</v>
      </c>
      <c r="J6" s="7">
        <f ca="1">AVERAGE(E5:E14)</f>
        <v>9.5</v>
      </c>
    </row>
    <row r="7" spans="1:10" x14ac:dyDescent="0.25">
      <c r="A7" s="9">
        <v>3</v>
      </c>
      <c r="B7" s="9" t="s">
        <v>116</v>
      </c>
      <c r="C7" s="10">
        <v>43355</v>
      </c>
      <c r="D7" s="9" t="s">
        <v>30</v>
      </c>
      <c r="E7" s="9">
        <f t="shared" ca="1" si="0"/>
        <v>8</v>
      </c>
      <c r="F7" s="11">
        <f t="shared" ca="1" si="1"/>
        <v>12000</v>
      </c>
      <c r="I7" s="7" t="s">
        <v>117</v>
      </c>
      <c r="J7" s="7">
        <f ca="1">COUNTIF(E5:E14,"&gt;8")</f>
        <v>4</v>
      </c>
    </row>
    <row r="8" spans="1:10" x14ac:dyDescent="0.25">
      <c r="A8" s="9">
        <v>4</v>
      </c>
      <c r="B8" s="9" t="s">
        <v>118</v>
      </c>
      <c r="C8" s="10">
        <v>40240</v>
      </c>
      <c r="D8" s="9" t="s">
        <v>28</v>
      </c>
      <c r="E8" s="9">
        <f t="shared" ca="1" si="0"/>
        <v>16</v>
      </c>
      <c r="F8" s="11">
        <f t="shared" ca="1" si="1"/>
        <v>12000</v>
      </c>
    </row>
    <row r="9" spans="1:10" x14ac:dyDescent="0.25">
      <c r="A9" s="9">
        <v>5</v>
      </c>
      <c r="B9" s="9" t="s">
        <v>112</v>
      </c>
      <c r="C9" s="10">
        <v>38540</v>
      </c>
      <c r="D9" s="9" t="s">
        <v>29</v>
      </c>
      <c r="E9" s="9">
        <f t="shared" ca="1" si="0"/>
        <v>21</v>
      </c>
      <c r="F9" s="11">
        <f t="shared" ca="1" si="1"/>
        <v>0</v>
      </c>
      <c r="I9" s="8" t="s">
        <v>72</v>
      </c>
      <c r="J9" s="8" t="s">
        <v>111</v>
      </c>
    </row>
    <row r="10" spans="1:10" x14ac:dyDescent="0.25">
      <c r="A10" s="9">
        <v>6</v>
      </c>
      <c r="B10" s="9" t="s">
        <v>114</v>
      </c>
      <c r="C10" s="10">
        <v>45336</v>
      </c>
      <c r="D10" s="9" t="s">
        <v>30</v>
      </c>
      <c r="E10" s="9">
        <f t="shared" ca="1" si="0"/>
        <v>2</v>
      </c>
      <c r="F10" s="11">
        <f t="shared" ca="1" si="1"/>
        <v>20000</v>
      </c>
      <c r="I10" s="9" t="s">
        <v>112</v>
      </c>
      <c r="J10" s="9">
        <f ca="1">SUMIF(B5:B14,I10,F5:F14)</f>
        <v>20000</v>
      </c>
    </row>
    <row r="11" spans="1:10" x14ac:dyDescent="0.25">
      <c r="A11" s="9">
        <v>7</v>
      </c>
      <c r="B11" s="9" t="s">
        <v>116</v>
      </c>
      <c r="C11" s="10">
        <v>43789</v>
      </c>
      <c r="D11" s="9" t="s">
        <v>28</v>
      </c>
      <c r="E11" s="9">
        <f t="shared" ca="1" si="0"/>
        <v>6</v>
      </c>
      <c r="F11" s="11">
        <f t="shared" ca="1" si="1"/>
        <v>16000</v>
      </c>
      <c r="I11" s="9" t="s">
        <v>114</v>
      </c>
      <c r="J11" s="9">
        <f ca="1">SUMIF(B5:B14,I11,F5:F14)</f>
        <v>56000</v>
      </c>
    </row>
    <row r="12" spans="1:10" x14ac:dyDescent="0.25">
      <c r="A12" s="9">
        <v>8</v>
      </c>
      <c r="B12" s="9" t="s">
        <v>118</v>
      </c>
      <c r="C12" s="10">
        <v>40700</v>
      </c>
      <c r="D12" s="9" t="s">
        <v>29</v>
      </c>
      <c r="E12" s="9">
        <f t="shared" ca="1" si="0"/>
        <v>15</v>
      </c>
      <c r="F12" s="11">
        <f t="shared" ca="1" si="1"/>
        <v>12000</v>
      </c>
      <c r="I12" s="9" t="s">
        <v>116</v>
      </c>
      <c r="J12" s="9">
        <f ca="1">SUMIF(B5:B14,I12,F5:F14)</f>
        <v>28000</v>
      </c>
    </row>
    <row r="13" spans="1:10" x14ac:dyDescent="0.25">
      <c r="A13" s="9">
        <v>9</v>
      </c>
      <c r="B13" s="9" t="s">
        <v>112</v>
      </c>
      <c r="C13" s="10">
        <v>39302</v>
      </c>
      <c r="D13" s="9" t="s">
        <v>30</v>
      </c>
      <c r="E13" s="9">
        <f t="shared" ca="1" si="0"/>
        <v>19</v>
      </c>
      <c r="F13" s="11">
        <f t="shared" ca="1" si="1"/>
        <v>0</v>
      </c>
      <c r="I13" s="9" t="s">
        <v>118</v>
      </c>
      <c r="J13" s="9">
        <f ca="1">SUMIF(B5:B14,I13,F5:F14)</f>
        <v>24000</v>
      </c>
    </row>
    <row r="14" spans="1:10" x14ac:dyDescent="0.25">
      <c r="A14" s="9">
        <v>10</v>
      </c>
      <c r="B14" s="9" t="s">
        <v>114</v>
      </c>
      <c r="C14" s="10">
        <v>45261</v>
      </c>
      <c r="D14" s="9" t="s">
        <v>28</v>
      </c>
      <c r="E14" s="9">
        <f t="shared" ca="1" si="0"/>
        <v>2</v>
      </c>
      <c r="F14" s="11">
        <f t="shared" ca="1" si="1"/>
        <v>20000</v>
      </c>
    </row>
    <row r="15" spans="1:10" x14ac:dyDescent="0.25">
      <c r="I15" s="8" t="s">
        <v>71</v>
      </c>
      <c r="J15" s="8" t="s">
        <v>111</v>
      </c>
    </row>
    <row r="16" spans="1:10" x14ac:dyDescent="0.25">
      <c r="I16" s="9" t="s">
        <v>28</v>
      </c>
      <c r="J16" s="9">
        <f ca="1">SUMIF(D5:D14,I16,F5:F14)</f>
        <v>68000</v>
      </c>
    </row>
    <row r="17" spans="9:10" x14ac:dyDescent="0.25">
      <c r="I17" s="9" t="s">
        <v>29</v>
      </c>
      <c r="J17" s="9">
        <f ca="1">SUMIF(D5:D14,I17,F5:F14)</f>
        <v>28000</v>
      </c>
    </row>
    <row r="18" spans="9:10" x14ac:dyDescent="0.25">
      <c r="I18" s="9" t="s">
        <v>30</v>
      </c>
      <c r="J18" s="9">
        <f ca="1">SUMIF(D5:D14,I18,F5:F14)</f>
        <v>32000</v>
      </c>
    </row>
  </sheetData>
  <mergeCells count="1">
    <mergeCell ref="A1:F1"/>
  </mergeCells>
  <pageMargins left="0.3" right="0.3" top="0.5" bottom="0.5" header="0.5" footer="0.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showGridLines="0" workbookViewId="0">
      <pane ySplit="3" topLeftCell="A4" activePane="bottomLeft" state="frozen"/>
      <selection pane="bottomLeft" sqref="A1:XFD1048576"/>
    </sheetView>
  </sheetViews>
  <sheetFormatPr defaultRowHeight="15" x14ac:dyDescent="0.25"/>
  <cols>
    <col min="1" max="1" width="28" style="7" customWidth="1"/>
    <col min="2" max="2" width="14" style="7" customWidth="1"/>
    <col min="3" max="3" width="18" style="7" customWidth="1"/>
    <col min="4" max="4" width="28" style="7" customWidth="1"/>
    <col min="5" max="5" width="11" style="7" customWidth="1"/>
    <col min="6" max="6" width="10" style="7" customWidth="1"/>
    <col min="7" max="8" width="28" style="7" customWidth="1"/>
    <col min="9" max="9" width="14" style="7" customWidth="1"/>
    <col min="10" max="10" width="10" style="7" customWidth="1"/>
    <col min="11" max="12" width="28" style="7" customWidth="1"/>
    <col min="13" max="16384" width="9.140625" style="7"/>
  </cols>
  <sheetData>
    <row r="1" spans="1:12" x14ac:dyDescent="0.25">
      <c r="A1" s="1" t="s">
        <v>119</v>
      </c>
      <c r="B1" s="6"/>
      <c r="C1" s="6"/>
      <c r="D1" s="6"/>
      <c r="E1" s="6"/>
      <c r="F1" s="6"/>
    </row>
    <row r="4" spans="1:12" ht="28.5" x14ac:dyDescent="0.25">
      <c r="A4" s="8" t="s">
        <v>45</v>
      </c>
      <c r="B4" s="8" t="s">
        <v>120</v>
      </c>
      <c r="C4" s="8" t="s">
        <v>121</v>
      </c>
      <c r="D4" s="8" t="s">
        <v>122</v>
      </c>
      <c r="E4" s="8" t="s">
        <v>123</v>
      </c>
      <c r="F4" s="8" t="s">
        <v>124</v>
      </c>
      <c r="G4" s="8" t="s">
        <v>125</v>
      </c>
      <c r="H4" s="8" t="s">
        <v>126</v>
      </c>
      <c r="I4" s="8" t="s">
        <v>127</v>
      </c>
      <c r="K4" s="7" t="s">
        <v>98</v>
      </c>
    </row>
    <row r="5" spans="1:12" x14ac:dyDescent="0.25">
      <c r="A5" s="9">
        <v>1</v>
      </c>
      <c r="B5" s="9" t="s">
        <v>128</v>
      </c>
      <c r="C5" s="10">
        <v>40918</v>
      </c>
      <c r="D5" s="10">
        <v>42875</v>
      </c>
      <c r="E5" s="9" t="s">
        <v>129</v>
      </c>
      <c r="F5" s="12">
        <v>60000</v>
      </c>
      <c r="G5" s="14">
        <f t="shared" ref="G5:G10" si="0">DATEDIF(C5,D5,"Y")+DATEDIF(C5,D5,"YM")/12</f>
        <v>5.333333333333333</v>
      </c>
      <c r="H5" s="13">
        <f t="shared" ref="H5:H10" si="1">IF(G5&lt;5,10%,IF(G5&gt;10,20%,15%))</f>
        <v>0.15</v>
      </c>
      <c r="I5" s="11">
        <f t="shared" ref="I5:I10" si="2">F5*(1+H5)</f>
        <v>69000</v>
      </c>
      <c r="K5" s="7" t="s">
        <v>130</v>
      </c>
      <c r="L5" s="7">
        <f>AVERAGE(I9:I10)</f>
        <v>94875</v>
      </c>
    </row>
    <row r="6" spans="1:12" x14ac:dyDescent="0.25">
      <c r="A6" s="9">
        <v>2</v>
      </c>
      <c r="B6" s="9" t="s">
        <v>131</v>
      </c>
      <c r="C6" s="10">
        <v>42876</v>
      </c>
      <c r="D6" s="10">
        <v>44074</v>
      </c>
      <c r="E6" s="9" t="s">
        <v>132</v>
      </c>
      <c r="F6" s="12">
        <v>70000</v>
      </c>
      <c r="G6" s="14">
        <f t="shared" si="0"/>
        <v>3.25</v>
      </c>
      <c r="H6" s="13">
        <f t="shared" si="1"/>
        <v>0.1</v>
      </c>
      <c r="I6" s="11">
        <f t="shared" si="2"/>
        <v>77000</v>
      </c>
      <c r="K6" s="7" t="s">
        <v>133</v>
      </c>
      <c r="L6" s="7">
        <f>COUNTIF(I5:I10,"&lt;"&amp;AVERAGE(I5:I10))</f>
        <v>3</v>
      </c>
    </row>
    <row r="7" spans="1:12" x14ac:dyDescent="0.25">
      <c r="A7" s="9">
        <v>3</v>
      </c>
      <c r="B7" s="9" t="s">
        <v>134</v>
      </c>
      <c r="C7" s="10">
        <v>44075</v>
      </c>
      <c r="D7" s="10">
        <v>45291</v>
      </c>
      <c r="E7" s="9" t="s">
        <v>129</v>
      </c>
      <c r="F7" s="12">
        <v>80000</v>
      </c>
      <c r="G7" s="14">
        <f t="shared" si="0"/>
        <v>3.25</v>
      </c>
      <c r="H7" s="13">
        <f t="shared" si="1"/>
        <v>0.1</v>
      </c>
      <c r="I7" s="11">
        <f t="shared" si="2"/>
        <v>88000</v>
      </c>
      <c r="K7" s="7" t="s">
        <v>135</v>
      </c>
      <c r="L7" s="7">
        <f>MIN(I5:I10)</f>
        <v>69000</v>
      </c>
    </row>
    <row r="8" spans="1:12" x14ac:dyDescent="0.25">
      <c r="A8" s="9">
        <v>4</v>
      </c>
      <c r="B8" s="9" t="s">
        <v>136</v>
      </c>
      <c r="C8" s="10">
        <v>40210</v>
      </c>
      <c r="D8" s="10">
        <v>42400</v>
      </c>
      <c r="E8" s="9" t="s">
        <v>137</v>
      </c>
      <c r="F8" s="12">
        <v>65000</v>
      </c>
      <c r="G8" s="14">
        <f t="shared" si="0"/>
        <v>5.916666666666667</v>
      </c>
      <c r="H8" s="13">
        <f t="shared" si="1"/>
        <v>0.15</v>
      </c>
      <c r="I8" s="11">
        <f t="shared" si="2"/>
        <v>74750</v>
      </c>
      <c r="K8" s="7" t="s">
        <v>138</v>
      </c>
      <c r="L8" s="7">
        <f>MAX(I5:I10)</f>
        <v>103499.99999999999</v>
      </c>
    </row>
    <row r="9" spans="1:12" x14ac:dyDescent="0.25">
      <c r="A9" s="9">
        <v>5</v>
      </c>
      <c r="B9" s="9" t="s">
        <v>139</v>
      </c>
      <c r="C9" s="10">
        <v>42401</v>
      </c>
      <c r="D9" s="10">
        <v>44286</v>
      </c>
      <c r="E9" s="9" t="s">
        <v>132</v>
      </c>
      <c r="F9" s="12">
        <v>75000</v>
      </c>
      <c r="G9" s="14">
        <f t="shared" si="0"/>
        <v>5.083333333333333</v>
      </c>
      <c r="H9" s="13">
        <f t="shared" si="1"/>
        <v>0.15</v>
      </c>
      <c r="I9" s="11">
        <f t="shared" si="2"/>
        <v>86250</v>
      </c>
    </row>
    <row r="10" spans="1:12" x14ac:dyDescent="0.25">
      <c r="A10" s="9">
        <v>6</v>
      </c>
      <c r="B10" s="9" t="s">
        <v>140</v>
      </c>
      <c r="C10" s="10">
        <v>44287</v>
      </c>
      <c r="D10" s="10">
        <v>46295</v>
      </c>
      <c r="E10" s="9" t="s">
        <v>129</v>
      </c>
      <c r="F10" s="12">
        <v>90000</v>
      </c>
      <c r="G10" s="14">
        <f t="shared" si="0"/>
        <v>5.416666666666667</v>
      </c>
      <c r="H10" s="13">
        <f t="shared" si="1"/>
        <v>0.15</v>
      </c>
      <c r="I10" s="11">
        <f t="shared" si="2"/>
        <v>103499.99999999999</v>
      </c>
      <c r="K10" s="8" t="s">
        <v>123</v>
      </c>
      <c r="L10" s="8" t="s">
        <v>141</v>
      </c>
    </row>
    <row r="11" spans="1:12" x14ac:dyDescent="0.25">
      <c r="K11" s="9" t="s">
        <v>129</v>
      </c>
      <c r="L11" s="9">
        <f>AVERAGEIF(E5:E10,K11,I5:I10)</f>
        <v>86833.333333333328</v>
      </c>
    </row>
    <row r="12" spans="1:12" x14ac:dyDescent="0.25">
      <c r="K12" s="9" t="s">
        <v>132</v>
      </c>
      <c r="L12" s="9">
        <f>AVERAGEIF(E5:E10,K12,I5:I10)</f>
        <v>81625</v>
      </c>
    </row>
    <row r="13" spans="1:12" x14ac:dyDescent="0.25">
      <c r="K13" s="9" t="s">
        <v>137</v>
      </c>
      <c r="L13" s="9">
        <f>AVERAGEIF(E5:E10,K13,I5:I10)</f>
        <v>74750</v>
      </c>
    </row>
  </sheetData>
  <mergeCells count="1">
    <mergeCell ref="A1:F1"/>
  </mergeCells>
  <pageMargins left="0.3" right="0.3" top="0.5" bottom="0.5" header="0.5" footer="0.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6"/>
  <sheetViews>
    <sheetView showGridLines="0" workbookViewId="0">
      <pane ySplit="3" topLeftCell="A4" activePane="bottomLeft" state="frozen"/>
      <selection pane="bottomLeft" activeCell="C27" sqref="C27"/>
    </sheetView>
  </sheetViews>
  <sheetFormatPr defaultRowHeight="15" x14ac:dyDescent="0.25"/>
  <cols>
    <col min="1" max="1" width="28" style="7" customWidth="1"/>
    <col min="2" max="2" width="10" style="7" customWidth="1"/>
    <col min="3" max="3" width="18" style="7" customWidth="1"/>
    <col min="4" max="4" width="11" style="7" customWidth="1"/>
    <col min="5" max="5" width="23" style="7" customWidth="1"/>
    <col min="6" max="6" width="19" style="7" customWidth="1"/>
    <col min="7" max="7" width="28" style="7" customWidth="1"/>
    <col min="8" max="8" width="27" style="7" customWidth="1"/>
    <col min="9" max="9" width="28" style="7" customWidth="1"/>
    <col min="10" max="10" width="10" style="7" customWidth="1"/>
    <col min="11" max="12" width="28" style="7" customWidth="1"/>
    <col min="13" max="13" width="10" style="7" customWidth="1"/>
    <col min="14" max="14" width="11" style="7" customWidth="1"/>
    <col min="15" max="15" width="27" style="7" customWidth="1"/>
    <col min="16" max="16384" width="9.140625" style="7"/>
  </cols>
  <sheetData>
    <row r="1" spans="1:15" x14ac:dyDescent="0.25">
      <c r="A1" s="1" t="s">
        <v>142</v>
      </c>
      <c r="B1" s="6"/>
      <c r="C1" s="6"/>
      <c r="D1" s="6"/>
      <c r="E1" s="6"/>
      <c r="F1" s="6"/>
    </row>
    <row r="4" spans="1:15" ht="28.5" x14ac:dyDescent="0.25">
      <c r="A4" s="8" t="s">
        <v>72</v>
      </c>
      <c r="B4" s="8" t="s">
        <v>71</v>
      </c>
      <c r="C4" s="8" t="s">
        <v>121</v>
      </c>
      <c r="D4" s="8" t="s">
        <v>123</v>
      </c>
      <c r="E4" s="8" t="s">
        <v>143</v>
      </c>
      <c r="F4" s="8" t="s">
        <v>144</v>
      </c>
      <c r="G4" s="8" t="s">
        <v>145</v>
      </c>
      <c r="H4" s="8" t="s">
        <v>146</v>
      </c>
      <c r="I4" s="8" t="s">
        <v>147</v>
      </c>
      <c r="K4" s="7" t="s">
        <v>98</v>
      </c>
    </row>
    <row r="5" spans="1:15" x14ac:dyDescent="0.25">
      <c r="A5" s="9" t="s">
        <v>112</v>
      </c>
      <c r="B5" s="9" t="s">
        <v>28</v>
      </c>
      <c r="C5" s="10">
        <v>45301</v>
      </c>
      <c r="D5" s="9" t="s">
        <v>129</v>
      </c>
      <c r="E5" s="9">
        <v>22</v>
      </c>
      <c r="F5" s="11">
        <v>60000</v>
      </c>
      <c r="G5" s="9">
        <v>3</v>
      </c>
      <c r="H5" s="9">
        <f t="shared" ref="H5:H16" ca="1" si="0">DATEDIF(C5,TODAY(),"Y")</f>
        <v>2</v>
      </c>
      <c r="I5" s="11">
        <f t="shared" ref="I5:I16" ca="1" si="1">F5*G5/E5*IF(H5&lt;5,50%,IF(H5&gt;8,100%,80%))</f>
        <v>4090.909090909091</v>
      </c>
      <c r="K5" s="7" t="s">
        <v>148</v>
      </c>
      <c r="L5" s="7">
        <f ca="1">SUM(I5:I16)</f>
        <v>156177.27272727274</v>
      </c>
    </row>
    <row r="6" spans="1:15" x14ac:dyDescent="0.25">
      <c r="A6" s="9" t="s">
        <v>114</v>
      </c>
      <c r="B6" s="9" t="s">
        <v>28</v>
      </c>
      <c r="C6" s="10">
        <v>42767</v>
      </c>
      <c r="D6" s="9" t="s">
        <v>132</v>
      </c>
      <c r="E6" s="9">
        <v>22</v>
      </c>
      <c r="F6" s="11">
        <v>61500</v>
      </c>
      <c r="G6" s="9">
        <v>5</v>
      </c>
      <c r="H6" s="9">
        <f t="shared" ca="1" si="0"/>
        <v>9</v>
      </c>
      <c r="I6" s="11">
        <f t="shared" ca="1" si="1"/>
        <v>13977.272727272728</v>
      </c>
      <c r="K6" s="7" t="s">
        <v>149</v>
      </c>
      <c r="L6" s="7">
        <f ca="1">AVERAGE(H5:H16)</f>
        <v>9.3333333333333339</v>
      </c>
    </row>
    <row r="7" spans="1:15" x14ac:dyDescent="0.25">
      <c r="A7" s="9" t="s">
        <v>116</v>
      </c>
      <c r="B7" s="9" t="s">
        <v>28</v>
      </c>
      <c r="C7" s="10">
        <v>40238</v>
      </c>
      <c r="D7" s="9" t="s">
        <v>150</v>
      </c>
      <c r="E7" s="9">
        <v>22</v>
      </c>
      <c r="F7" s="11">
        <v>63000</v>
      </c>
      <c r="G7" s="9">
        <v>2</v>
      </c>
      <c r="H7" s="9">
        <f t="shared" ca="1" si="0"/>
        <v>16</v>
      </c>
      <c r="I7" s="11">
        <f t="shared" ca="1" si="1"/>
        <v>5727.272727272727</v>
      </c>
      <c r="K7" s="7" t="s">
        <v>151</v>
      </c>
      <c r="L7" s="7">
        <f ca="1">COUNTIF(H5:H16,"&lt;8")</f>
        <v>5</v>
      </c>
    </row>
    <row r="8" spans="1:15" x14ac:dyDescent="0.25">
      <c r="A8" s="9" t="s">
        <v>118</v>
      </c>
      <c r="B8" s="9" t="s">
        <v>28</v>
      </c>
      <c r="C8" s="10">
        <v>44652</v>
      </c>
      <c r="D8" s="9" t="s">
        <v>152</v>
      </c>
      <c r="E8" s="9">
        <v>22</v>
      </c>
      <c r="F8" s="11">
        <v>64500</v>
      </c>
      <c r="G8" s="9">
        <v>8</v>
      </c>
      <c r="H8" s="9">
        <f t="shared" ca="1" si="0"/>
        <v>4</v>
      </c>
      <c r="I8" s="11">
        <f t="shared" ca="1" si="1"/>
        <v>11727.272727272728</v>
      </c>
      <c r="K8" s="7" t="s">
        <v>153</v>
      </c>
      <c r="L8" s="7">
        <f>MIN(G5:G16)</f>
        <v>1</v>
      </c>
    </row>
    <row r="9" spans="1:15" x14ac:dyDescent="0.25">
      <c r="A9" s="9" t="s">
        <v>112</v>
      </c>
      <c r="B9" s="9" t="s">
        <v>29</v>
      </c>
      <c r="C9" s="10">
        <v>42491</v>
      </c>
      <c r="D9" s="9" t="s">
        <v>129</v>
      </c>
      <c r="E9" s="9">
        <v>22</v>
      </c>
      <c r="F9" s="11">
        <v>66000</v>
      </c>
      <c r="G9" s="9">
        <v>4</v>
      </c>
      <c r="H9" s="9">
        <f t="shared" ca="1" si="0"/>
        <v>10</v>
      </c>
      <c r="I9" s="11">
        <f t="shared" ca="1" si="1"/>
        <v>12000</v>
      </c>
      <c r="K9" s="7" t="s">
        <v>154</v>
      </c>
      <c r="L9" s="7">
        <f>MAX(G5:G16)</f>
        <v>10</v>
      </c>
    </row>
    <row r="10" spans="1:15" x14ac:dyDescent="0.25">
      <c r="A10" s="9" t="s">
        <v>114</v>
      </c>
      <c r="B10" s="9" t="s">
        <v>29</v>
      </c>
      <c r="C10" s="10">
        <v>39600</v>
      </c>
      <c r="D10" s="9" t="s">
        <v>132</v>
      </c>
      <c r="E10" s="9">
        <v>22</v>
      </c>
      <c r="F10" s="11">
        <v>67500</v>
      </c>
      <c r="G10" s="9">
        <v>6</v>
      </c>
      <c r="H10" s="9">
        <f t="shared" ca="1" si="0"/>
        <v>18</v>
      </c>
      <c r="I10" s="11">
        <f t="shared" ca="1" si="1"/>
        <v>18409.090909090908</v>
      </c>
    </row>
    <row r="11" spans="1:15" ht="28.5" x14ac:dyDescent="0.25">
      <c r="A11" s="9" t="s">
        <v>116</v>
      </c>
      <c r="B11" s="9" t="s">
        <v>29</v>
      </c>
      <c r="C11" s="10">
        <v>45108</v>
      </c>
      <c r="D11" s="9" t="s">
        <v>150</v>
      </c>
      <c r="E11" s="9">
        <v>22</v>
      </c>
      <c r="F11" s="11">
        <v>69000</v>
      </c>
      <c r="G11" s="9">
        <v>1</v>
      </c>
      <c r="H11" s="9">
        <f t="shared" ca="1" si="0"/>
        <v>3</v>
      </c>
      <c r="I11" s="11">
        <f t="shared" ca="1" si="1"/>
        <v>1568.1818181818182</v>
      </c>
      <c r="K11" s="8" t="s">
        <v>71</v>
      </c>
      <c r="L11" s="8" t="s">
        <v>155</v>
      </c>
      <c r="N11" s="8" t="s">
        <v>123</v>
      </c>
      <c r="O11" s="8" t="s">
        <v>156</v>
      </c>
    </row>
    <row r="12" spans="1:15" x14ac:dyDescent="0.25">
      <c r="A12" s="9" t="s">
        <v>118</v>
      </c>
      <c r="B12" s="9" t="s">
        <v>29</v>
      </c>
      <c r="C12" s="10">
        <v>42217</v>
      </c>
      <c r="D12" s="9" t="s">
        <v>152</v>
      </c>
      <c r="E12" s="9">
        <v>22</v>
      </c>
      <c r="F12" s="11">
        <v>70500</v>
      </c>
      <c r="G12" s="9">
        <v>7</v>
      </c>
      <c r="H12" s="9">
        <f t="shared" ca="1" si="0"/>
        <v>11</v>
      </c>
      <c r="I12" s="11">
        <f t="shared" ca="1" si="1"/>
        <v>22431.81818181818</v>
      </c>
      <c r="K12" s="9" t="s">
        <v>28</v>
      </c>
      <c r="L12" s="9">
        <f>AVERAGEIF(B5:B16,K12,G5:G16)</f>
        <v>4.5</v>
      </c>
      <c r="N12" s="9" t="s">
        <v>129</v>
      </c>
      <c r="O12" s="9">
        <f>SUMIF(D5:D16,N12,G5:G16)</f>
        <v>17</v>
      </c>
    </row>
    <row r="13" spans="1:15" x14ac:dyDescent="0.25">
      <c r="A13" s="9" t="s">
        <v>112</v>
      </c>
      <c r="B13" s="9" t="s">
        <v>30</v>
      </c>
      <c r="C13" s="10">
        <v>40057</v>
      </c>
      <c r="D13" s="9" t="s">
        <v>129</v>
      </c>
      <c r="E13" s="9">
        <v>22</v>
      </c>
      <c r="F13" s="11">
        <v>72000</v>
      </c>
      <c r="G13" s="9">
        <v>10</v>
      </c>
      <c r="H13" s="9">
        <f t="shared" ca="1" si="0"/>
        <v>17</v>
      </c>
      <c r="I13" s="11">
        <f t="shared" ca="1" si="1"/>
        <v>32727.272727272728</v>
      </c>
      <c r="K13" s="9" t="s">
        <v>29</v>
      </c>
      <c r="L13" s="9">
        <f>AVERAGEIF(B5:B16,K13,G5:G16)</f>
        <v>4.5</v>
      </c>
      <c r="N13" s="9" t="s">
        <v>132</v>
      </c>
      <c r="O13" s="9">
        <f>SUMIF(D5:D16,N13,G5:G16)</f>
        <v>13</v>
      </c>
    </row>
    <row r="14" spans="1:15" x14ac:dyDescent="0.25">
      <c r="A14" s="9" t="s">
        <v>114</v>
      </c>
      <c r="B14" s="9" t="s">
        <v>30</v>
      </c>
      <c r="C14" s="10">
        <v>44470</v>
      </c>
      <c r="D14" s="9" t="s">
        <v>132</v>
      </c>
      <c r="E14" s="9">
        <v>22</v>
      </c>
      <c r="F14" s="11">
        <v>73500</v>
      </c>
      <c r="G14" s="9">
        <v>2</v>
      </c>
      <c r="H14" s="9">
        <f t="shared" ca="1" si="0"/>
        <v>5</v>
      </c>
      <c r="I14" s="11">
        <f t="shared" ca="1" si="1"/>
        <v>5345.454545454546</v>
      </c>
      <c r="K14" s="9" t="s">
        <v>30</v>
      </c>
      <c r="L14" s="9">
        <f>AVERAGEIF(B5:B16,K14,G5:G16)</f>
        <v>5.25</v>
      </c>
      <c r="N14" s="9" t="s">
        <v>150</v>
      </c>
      <c r="O14" s="9">
        <f>SUMIF(D5:D16,N14,G5:G16)</f>
        <v>8</v>
      </c>
    </row>
    <row r="15" spans="1:15" x14ac:dyDescent="0.25">
      <c r="A15" s="9" t="s">
        <v>116</v>
      </c>
      <c r="B15" s="9" t="s">
        <v>30</v>
      </c>
      <c r="C15" s="10">
        <v>41944</v>
      </c>
      <c r="D15" s="9" t="s">
        <v>150</v>
      </c>
      <c r="E15" s="9">
        <v>22</v>
      </c>
      <c r="F15" s="11">
        <v>75000</v>
      </c>
      <c r="G15" s="9">
        <v>5</v>
      </c>
      <c r="H15" s="9">
        <f t="shared" ca="1" si="0"/>
        <v>11</v>
      </c>
      <c r="I15" s="11">
        <f t="shared" ca="1" si="1"/>
        <v>17045.454545454544</v>
      </c>
      <c r="K15" s="9"/>
      <c r="L15" s="9"/>
      <c r="N15" s="9" t="s">
        <v>152</v>
      </c>
      <c r="O15" s="9">
        <f>SUMIF(D5:D16,N15,G5:G16)</f>
        <v>19</v>
      </c>
    </row>
    <row r="16" spans="1:15" x14ac:dyDescent="0.25">
      <c r="A16" s="9" t="s">
        <v>118</v>
      </c>
      <c r="B16" s="9" t="s">
        <v>30</v>
      </c>
      <c r="C16" s="10">
        <v>43800</v>
      </c>
      <c r="D16" s="9" t="s">
        <v>152</v>
      </c>
      <c r="E16" s="9">
        <v>22</v>
      </c>
      <c r="F16" s="11">
        <v>76500</v>
      </c>
      <c r="G16" s="9">
        <v>4</v>
      </c>
      <c r="H16" s="9">
        <f t="shared" ca="1" si="0"/>
        <v>6</v>
      </c>
      <c r="I16" s="11">
        <f t="shared" ca="1" si="1"/>
        <v>11127.272727272728</v>
      </c>
    </row>
  </sheetData>
  <mergeCells count="1">
    <mergeCell ref="A1:F1"/>
  </mergeCells>
  <pageMargins left="0.3" right="0.3" top="0.5" bottom="0.5" header="0.5" footer="0.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14"/>
  <sheetViews>
    <sheetView showGridLines="0" workbookViewId="0">
      <pane ySplit="3" topLeftCell="A4" activePane="bottomLeft" state="frozen"/>
      <selection pane="bottomLeft" activeCell="C19" sqref="C19"/>
    </sheetView>
  </sheetViews>
  <sheetFormatPr defaultRowHeight="15" x14ac:dyDescent="0.25"/>
  <cols>
    <col min="1" max="1" width="28" style="7" customWidth="1"/>
    <col min="2" max="2" width="15" style="7" customWidth="1"/>
    <col min="3" max="3" width="18" style="7" customWidth="1"/>
    <col min="4" max="4" width="11" style="7" customWidth="1"/>
    <col min="5" max="5" width="10" style="7" customWidth="1"/>
    <col min="6" max="7" width="27" style="7" customWidth="1"/>
    <col min="8" max="8" width="28" style="7" customWidth="1"/>
    <col min="9" max="9" width="14" style="7" customWidth="1"/>
    <col min="10" max="10" width="10" style="7" customWidth="1"/>
    <col min="11" max="12" width="28" style="7" customWidth="1"/>
    <col min="13" max="16384" width="9.140625" style="7"/>
  </cols>
  <sheetData>
    <row r="1" spans="1:12" x14ac:dyDescent="0.25">
      <c r="A1" s="1" t="s">
        <v>157</v>
      </c>
      <c r="B1" s="6"/>
      <c r="C1" s="6"/>
      <c r="D1" s="6"/>
      <c r="E1" s="6"/>
      <c r="F1" s="6"/>
    </row>
    <row r="4" spans="1:12" ht="28.5" x14ac:dyDescent="0.25">
      <c r="A4" s="8" t="s">
        <v>72</v>
      </c>
      <c r="B4" s="8" t="s">
        <v>108</v>
      </c>
      <c r="C4" s="8" t="s">
        <v>121</v>
      </c>
      <c r="D4" s="8" t="s">
        <v>123</v>
      </c>
      <c r="E4" s="8" t="s">
        <v>124</v>
      </c>
      <c r="F4" s="8" t="s">
        <v>110</v>
      </c>
      <c r="G4" s="8" t="s">
        <v>146</v>
      </c>
      <c r="H4" s="8" t="s">
        <v>126</v>
      </c>
      <c r="I4" s="8" t="s">
        <v>127</v>
      </c>
      <c r="K4" s="7" t="s">
        <v>98</v>
      </c>
    </row>
    <row r="5" spans="1:12" x14ac:dyDescent="0.25">
      <c r="A5" s="9" t="s">
        <v>112</v>
      </c>
      <c r="B5" s="10">
        <v>32874</v>
      </c>
      <c r="C5" s="10">
        <v>43110</v>
      </c>
      <c r="D5" s="9" t="s">
        <v>129</v>
      </c>
      <c r="E5" s="12">
        <v>80000</v>
      </c>
      <c r="F5" s="9">
        <f t="shared" ref="F5:F14" ca="1" si="0">DATEDIF(B5,TODAY(),"Y")</f>
        <v>36</v>
      </c>
      <c r="G5" s="9">
        <f t="shared" ref="G5:G14" ca="1" si="1">DATEDIF(C5,TODAY(),"Y")</f>
        <v>8</v>
      </c>
      <c r="H5" s="13">
        <f t="shared" ref="H5:H14" ca="1" si="2">IF(G5&lt;5,10%,IF(G5&gt;10,20%,15%))</f>
        <v>0.15</v>
      </c>
      <c r="I5" s="11">
        <f t="shared" ref="I5:I14" ca="1" si="3">E5*(1+H5)</f>
        <v>92000</v>
      </c>
      <c r="K5" s="7" t="s">
        <v>158</v>
      </c>
      <c r="L5" s="7">
        <f ca="1">SUM(I5:I14)</f>
        <v>980850</v>
      </c>
    </row>
    <row r="6" spans="1:12" x14ac:dyDescent="0.25">
      <c r="A6" s="9" t="s">
        <v>114</v>
      </c>
      <c r="B6" s="10">
        <v>31080</v>
      </c>
      <c r="C6" s="10">
        <v>40941</v>
      </c>
      <c r="D6" s="9" t="s">
        <v>132</v>
      </c>
      <c r="E6" s="12">
        <v>90000</v>
      </c>
      <c r="F6" s="9">
        <f t="shared" ca="1" si="0"/>
        <v>41</v>
      </c>
      <c r="G6" s="9">
        <f t="shared" ca="1" si="1"/>
        <v>14</v>
      </c>
      <c r="H6" s="13">
        <f t="shared" ca="1" si="2"/>
        <v>0.2</v>
      </c>
      <c r="I6" s="11">
        <f t="shared" ca="1" si="3"/>
        <v>108000</v>
      </c>
      <c r="K6" s="7" t="s">
        <v>141</v>
      </c>
      <c r="L6" s="7">
        <f ca="1">AVERAGE(I5:I14)</f>
        <v>98085</v>
      </c>
    </row>
    <row r="7" spans="1:12" x14ac:dyDescent="0.25">
      <c r="A7" s="9" t="s">
        <v>116</v>
      </c>
      <c r="B7" s="10">
        <v>34761</v>
      </c>
      <c r="C7" s="10">
        <v>43893</v>
      </c>
      <c r="D7" s="9" t="s">
        <v>150</v>
      </c>
      <c r="E7" s="12">
        <v>70000</v>
      </c>
      <c r="F7" s="9">
        <f t="shared" ca="1" si="0"/>
        <v>31</v>
      </c>
      <c r="G7" s="9">
        <f t="shared" ca="1" si="1"/>
        <v>6</v>
      </c>
      <c r="H7" s="13">
        <f t="shared" ca="1" si="2"/>
        <v>0.15</v>
      </c>
      <c r="I7" s="11">
        <f t="shared" ca="1" si="3"/>
        <v>80500</v>
      </c>
      <c r="K7" s="7" t="s">
        <v>159</v>
      </c>
      <c r="L7" s="7">
        <f ca="1">COUNTIF(I5:I14,"&lt;"&amp;L6)</f>
        <v>6</v>
      </c>
    </row>
    <row r="8" spans="1:12" x14ac:dyDescent="0.25">
      <c r="A8" s="9" t="s">
        <v>118</v>
      </c>
      <c r="B8" s="10">
        <v>28584</v>
      </c>
      <c r="C8" s="10">
        <v>39542</v>
      </c>
      <c r="D8" s="9" t="s">
        <v>129</v>
      </c>
      <c r="E8" s="12">
        <v>95000</v>
      </c>
      <c r="F8" s="9">
        <f t="shared" ca="1" si="0"/>
        <v>48</v>
      </c>
      <c r="G8" s="9">
        <f t="shared" ca="1" si="1"/>
        <v>18</v>
      </c>
      <c r="H8" s="13">
        <f t="shared" ca="1" si="2"/>
        <v>0.2</v>
      </c>
      <c r="I8" s="11">
        <f t="shared" ca="1" si="3"/>
        <v>114000</v>
      </c>
      <c r="K8" s="7" t="s">
        <v>135</v>
      </c>
      <c r="L8" s="7">
        <f ca="1">MIN(I5:I14)</f>
        <v>80500</v>
      </c>
    </row>
    <row r="9" spans="1:12" x14ac:dyDescent="0.25">
      <c r="A9" s="9" t="s">
        <v>112</v>
      </c>
      <c r="B9" s="10">
        <v>33729</v>
      </c>
      <c r="C9" s="10">
        <v>42495</v>
      </c>
      <c r="D9" s="9" t="s">
        <v>132</v>
      </c>
      <c r="E9" s="12">
        <v>85000</v>
      </c>
      <c r="F9" s="9">
        <f t="shared" ca="1" si="0"/>
        <v>34</v>
      </c>
      <c r="G9" s="9">
        <f t="shared" ca="1" si="1"/>
        <v>10</v>
      </c>
      <c r="H9" s="13">
        <f t="shared" ca="1" si="2"/>
        <v>0.15</v>
      </c>
      <c r="I9" s="11">
        <f t="shared" ca="1" si="3"/>
        <v>97749.999999999985</v>
      </c>
      <c r="K9" s="7" t="s">
        <v>138</v>
      </c>
      <c r="L9" s="7">
        <f ca="1">MAX(I5:I14)</f>
        <v>120000</v>
      </c>
    </row>
    <row r="10" spans="1:12" x14ac:dyDescent="0.25">
      <c r="A10" s="9" t="s">
        <v>114</v>
      </c>
      <c r="B10" s="10">
        <v>29378</v>
      </c>
      <c r="C10" s="10">
        <v>40335</v>
      </c>
      <c r="D10" s="9" t="s">
        <v>150</v>
      </c>
      <c r="E10" s="12">
        <v>75000</v>
      </c>
      <c r="F10" s="9">
        <f t="shared" ca="1" si="0"/>
        <v>46</v>
      </c>
      <c r="G10" s="9">
        <f t="shared" ca="1" si="1"/>
        <v>16</v>
      </c>
      <c r="H10" s="13">
        <f t="shared" ca="1" si="2"/>
        <v>0.2</v>
      </c>
      <c r="I10" s="11">
        <f t="shared" ca="1" si="3"/>
        <v>90000</v>
      </c>
    </row>
    <row r="11" spans="1:12" x14ac:dyDescent="0.25">
      <c r="A11" s="9" t="s">
        <v>116</v>
      </c>
      <c r="B11" s="10">
        <v>35983</v>
      </c>
      <c r="C11" s="10">
        <v>44749</v>
      </c>
      <c r="D11" s="9" t="s">
        <v>129</v>
      </c>
      <c r="E11" s="12">
        <v>82000</v>
      </c>
      <c r="F11" s="9">
        <f t="shared" ca="1" si="0"/>
        <v>28</v>
      </c>
      <c r="G11" s="9">
        <f t="shared" ca="1" si="1"/>
        <v>4</v>
      </c>
      <c r="H11" s="13">
        <f t="shared" ca="1" si="2"/>
        <v>0.1</v>
      </c>
      <c r="I11" s="11">
        <f t="shared" ca="1" si="3"/>
        <v>90200.000000000015</v>
      </c>
      <c r="K11" s="8" t="s">
        <v>123</v>
      </c>
      <c r="L11" s="8" t="s">
        <v>141</v>
      </c>
    </row>
    <row r="12" spans="1:12" x14ac:dyDescent="0.25">
      <c r="A12" s="9" t="s">
        <v>118</v>
      </c>
      <c r="B12" s="10">
        <v>31997</v>
      </c>
      <c r="C12" s="10">
        <v>41859</v>
      </c>
      <c r="D12" s="9" t="s">
        <v>132</v>
      </c>
      <c r="E12" s="12">
        <v>88000</v>
      </c>
      <c r="F12" s="9">
        <f t="shared" ca="1" si="0"/>
        <v>39</v>
      </c>
      <c r="G12" s="9">
        <f t="shared" ca="1" si="1"/>
        <v>12</v>
      </c>
      <c r="H12" s="13">
        <f t="shared" ca="1" si="2"/>
        <v>0.2</v>
      </c>
      <c r="I12" s="11">
        <f t="shared" ca="1" si="3"/>
        <v>105600</v>
      </c>
      <c r="K12" s="9" t="s">
        <v>129</v>
      </c>
      <c r="L12" s="9">
        <f ca="1">AVERAGEIF(D5:D14,K12,I5:I14)</f>
        <v>104050</v>
      </c>
    </row>
    <row r="13" spans="1:12" x14ac:dyDescent="0.25">
      <c r="A13" s="9" t="s">
        <v>112</v>
      </c>
      <c r="B13" s="10">
        <v>34221</v>
      </c>
      <c r="C13" s="10">
        <v>43717</v>
      </c>
      <c r="D13" s="9" t="s">
        <v>150</v>
      </c>
      <c r="E13" s="12">
        <v>72000</v>
      </c>
      <c r="F13" s="9">
        <f t="shared" ca="1" si="0"/>
        <v>33</v>
      </c>
      <c r="G13" s="9">
        <f t="shared" ca="1" si="1"/>
        <v>7</v>
      </c>
      <c r="H13" s="13">
        <f t="shared" ca="1" si="2"/>
        <v>0.15</v>
      </c>
      <c r="I13" s="11">
        <f t="shared" ca="1" si="3"/>
        <v>82800</v>
      </c>
      <c r="K13" s="9" t="s">
        <v>132</v>
      </c>
      <c r="L13" s="9">
        <f ca="1">AVERAGEIF(D5:D14,K13,I5:I14)</f>
        <v>103783.33333333333</v>
      </c>
    </row>
    <row r="14" spans="1:12" x14ac:dyDescent="0.25">
      <c r="A14" s="9" t="s">
        <v>114</v>
      </c>
      <c r="B14" s="10">
        <v>30234</v>
      </c>
      <c r="C14" s="10">
        <v>40826</v>
      </c>
      <c r="D14" s="9" t="s">
        <v>129</v>
      </c>
      <c r="E14" s="12">
        <v>100000</v>
      </c>
      <c r="F14" s="9">
        <f t="shared" ca="1" si="0"/>
        <v>43</v>
      </c>
      <c r="G14" s="9">
        <f t="shared" ca="1" si="1"/>
        <v>14</v>
      </c>
      <c r="H14" s="13">
        <f t="shared" ca="1" si="2"/>
        <v>0.2</v>
      </c>
      <c r="I14" s="11">
        <f t="shared" ca="1" si="3"/>
        <v>120000</v>
      </c>
      <c r="K14" s="9" t="s">
        <v>150</v>
      </c>
      <c r="L14" s="9">
        <f ca="1">AVERAGEIF(D5:D14,K14,I5:I14)</f>
        <v>84433.333333333328</v>
      </c>
    </row>
  </sheetData>
  <mergeCells count="1">
    <mergeCell ref="A1:F1"/>
  </mergeCells>
  <pageMargins left="0.3" right="0.3" top="0.5" bottom="0.5" header="0.5" footer="0.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5"/>
  <sheetViews>
    <sheetView showGridLines="0" topLeftCell="H1" workbookViewId="0">
      <pane ySplit="3" topLeftCell="A4" activePane="bottomLeft" state="frozen"/>
      <selection pane="bottomLeft" activeCell="L5" sqref="L5"/>
    </sheetView>
  </sheetViews>
  <sheetFormatPr defaultRowHeight="15" x14ac:dyDescent="0.25"/>
  <cols>
    <col min="1" max="1" width="28" style="7" customWidth="1"/>
    <col min="2" max="2" width="10" style="7" customWidth="1"/>
    <col min="3" max="3" width="18" style="7" customWidth="1"/>
    <col min="4" max="4" width="23" style="7" customWidth="1"/>
    <col min="5" max="5" width="19" style="7" customWidth="1"/>
    <col min="6" max="6" width="25" style="7" customWidth="1"/>
    <col min="7" max="7" width="28" style="7" customWidth="1"/>
    <col min="8" max="9" width="27" style="7" customWidth="1"/>
    <col min="10" max="10" width="28" style="7" customWidth="1"/>
    <col min="11" max="11" width="10" style="7" customWidth="1"/>
    <col min="12" max="12" width="28" style="7" customWidth="1"/>
    <col min="13" max="13" width="27" style="7" customWidth="1"/>
    <col min="14" max="14" width="28" style="7" customWidth="1"/>
    <col min="15" max="15" width="10" style="7" customWidth="1"/>
    <col min="16" max="16" width="28" style="7" customWidth="1"/>
    <col min="17" max="17" width="10" style="7" customWidth="1"/>
    <col min="18" max="16384" width="9.140625" style="7"/>
  </cols>
  <sheetData>
    <row r="1" spans="1:17" x14ac:dyDescent="0.25">
      <c r="A1" s="1" t="s">
        <v>160</v>
      </c>
      <c r="B1" s="6"/>
      <c r="C1" s="6"/>
      <c r="D1" s="6"/>
      <c r="E1" s="6"/>
      <c r="F1" s="6"/>
    </row>
    <row r="4" spans="1:17" ht="28.5" x14ac:dyDescent="0.25">
      <c r="A4" s="8" t="s">
        <v>72</v>
      </c>
      <c r="B4" s="8" t="s">
        <v>71</v>
      </c>
      <c r="C4" s="8" t="s">
        <v>121</v>
      </c>
      <c r="D4" s="8" t="s">
        <v>143</v>
      </c>
      <c r="E4" s="8" t="s">
        <v>144</v>
      </c>
      <c r="F4" s="8" t="s">
        <v>161</v>
      </c>
      <c r="G4" s="8" t="s">
        <v>162</v>
      </c>
      <c r="H4" s="8" t="s">
        <v>146</v>
      </c>
      <c r="I4" s="8" t="s">
        <v>163</v>
      </c>
      <c r="J4" s="8" t="s">
        <v>164</v>
      </c>
      <c r="L4" s="7" t="s">
        <v>98</v>
      </c>
      <c r="P4" s="7" t="s">
        <v>165</v>
      </c>
    </row>
    <row r="5" spans="1:17" x14ac:dyDescent="0.25">
      <c r="A5" s="9" t="s">
        <v>112</v>
      </c>
      <c r="B5" s="9" t="s">
        <v>28</v>
      </c>
      <c r="C5" s="10">
        <v>45292</v>
      </c>
      <c r="D5" s="9">
        <v>22</v>
      </c>
      <c r="E5" s="11">
        <v>60000</v>
      </c>
      <c r="F5" s="10">
        <v>46027</v>
      </c>
      <c r="G5" s="10">
        <v>46029</v>
      </c>
      <c r="H5" s="9">
        <f t="shared" ref="H5:H14" ca="1" si="0">DATEDIF(C5,TODAY(),"Y")</f>
        <v>2</v>
      </c>
      <c r="I5" s="9">
        <f t="shared" ref="I5:I14" si="1">G5-F5+1</f>
        <v>3</v>
      </c>
      <c r="J5" s="11">
        <f t="shared" ref="J5:J14" ca="1" si="2">E5*I5/D5*IF(H5&lt;5,50%,IF(H5&gt;8,100%,80%))</f>
        <v>4090.909090909091</v>
      </c>
      <c r="L5" s="7" t="s">
        <v>148</v>
      </c>
      <c r="M5" s="7">
        <f ca="1">SUM(J5:J14)</f>
        <v>176036.36363636365</v>
      </c>
      <c r="P5" s="8" t="s">
        <v>72</v>
      </c>
      <c r="Q5" s="8" t="s">
        <v>166</v>
      </c>
    </row>
    <row r="6" spans="1:17" x14ac:dyDescent="0.25">
      <c r="A6" s="9" t="s">
        <v>114</v>
      </c>
      <c r="B6" s="9" t="s">
        <v>28</v>
      </c>
      <c r="C6" s="10">
        <v>44594</v>
      </c>
      <c r="D6" s="9">
        <v>22</v>
      </c>
      <c r="E6" s="11">
        <v>62000</v>
      </c>
      <c r="F6" s="10">
        <v>46059</v>
      </c>
      <c r="G6" s="10">
        <v>46064</v>
      </c>
      <c r="H6" s="9">
        <f t="shared" ca="1" si="0"/>
        <v>4</v>
      </c>
      <c r="I6" s="9">
        <f t="shared" si="1"/>
        <v>6</v>
      </c>
      <c r="J6" s="11">
        <f t="shared" ca="1" si="2"/>
        <v>8454.545454545454</v>
      </c>
      <c r="L6" s="7" t="s">
        <v>149</v>
      </c>
      <c r="M6" s="7">
        <f ca="1">AVERAGE(H5:H14)</f>
        <v>10.9</v>
      </c>
      <c r="P6" s="9" t="str">
        <f t="shared" ref="P6:P15" si="3">A5</f>
        <v>Иванов</v>
      </c>
      <c r="Q6" s="9">
        <f t="shared" ref="Q6:Q15" si="4">I5</f>
        <v>3</v>
      </c>
    </row>
    <row r="7" spans="1:17" x14ac:dyDescent="0.25">
      <c r="A7" s="9" t="s">
        <v>116</v>
      </c>
      <c r="B7" s="9" t="s">
        <v>28</v>
      </c>
      <c r="C7" s="10">
        <v>43893</v>
      </c>
      <c r="D7" s="9">
        <v>22</v>
      </c>
      <c r="E7" s="11">
        <v>64000</v>
      </c>
      <c r="F7" s="10">
        <v>46088</v>
      </c>
      <c r="G7" s="10">
        <v>46095</v>
      </c>
      <c r="H7" s="9">
        <f t="shared" ca="1" si="0"/>
        <v>6</v>
      </c>
      <c r="I7" s="9">
        <f t="shared" si="1"/>
        <v>8</v>
      </c>
      <c r="J7" s="11">
        <f t="shared" ca="1" si="2"/>
        <v>18618.18181818182</v>
      </c>
      <c r="L7" s="7" t="s">
        <v>167</v>
      </c>
      <c r="M7" s="7">
        <f ca="1">COUNTIF(H5:H14,"&gt;8")</f>
        <v>6</v>
      </c>
      <c r="P7" s="9" t="str">
        <f t="shared" si="3"/>
        <v>Петров</v>
      </c>
      <c r="Q7" s="9">
        <f t="shared" si="4"/>
        <v>6</v>
      </c>
    </row>
    <row r="8" spans="1:17" x14ac:dyDescent="0.25">
      <c r="A8" s="9" t="s">
        <v>118</v>
      </c>
      <c r="B8" s="9" t="s">
        <v>28</v>
      </c>
      <c r="C8" s="10">
        <v>43194</v>
      </c>
      <c r="D8" s="9">
        <v>22</v>
      </c>
      <c r="E8" s="11">
        <v>66000</v>
      </c>
      <c r="F8" s="10">
        <v>46030</v>
      </c>
      <c r="G8" s="10">
        <v>46033</v>
      </c>
      <c r="H8" s="9">
        <f t="shared" ca="1" si="0"/>
        <v>8</v>
      </c>
      <c r="I8" s="9">
        <f t="shared" si="1"/>
        <v>4</v>
      </c>
      <c r="J8" s="11">
        <f t="shared" ca="1" si="2"/>
        <v>9600</v>
      </c>
      <c r="L8" s="7" t="s">
        <v>168</v>
      </c>
      <c r="M8" s="7">
        <f>MIN(E5:E14)</f>
        <v>60000</v>
      </c>
      <c r="P8" s="9" t="str">
        <f t="shared" si="3"/>
        <v>Сидорова</v>
      </c>
      <c r="Q8" s="9">
        <f t="shared" si="4"/>
        <v>8</v>
      </c>
    </row>
    <row r="9" spans="1:17" x14ac:dyDescent="0.25">
      <c r="A9" s="9" t="s">
        <v>112</v>
      </c>
      <c r="B9" s="9" t="s">
        <v>29</v>
      </c>
      <c r="C9" s="10">
        <v>42495</v>
      </c>
      <c r="D9" s="9">
        <v>22</v>
      </c>
      <c r="E9" s="11">
        <v>68000</v>
      </c>
      <c r="F9" s="10">
        <v>46062</v>
      </c>
      <c r="G9" s="10">
        <v>46072</v>
      </c>
      <c r="H9" s="9">
        <f t="shared" ca="1" si="0"/>
        <v>10</v>
      </c>
      <c r="I9" s="9">
        <f t="shared" si="1"/>
        <v>11</v>
      </c>
      <c r="J9" s="11">
        <f t="shared" ca="1" si="2"/>
        <v>34000</v>
      </c>
      <c r="L9" s="7" t="s">
        <v>169</v>
      </c>
      <c r="M9" s="7">
        <f>MAX(E5:E14)</f>
        <v>78000</v>
      </c>
      <c r="P9" s="9" t="str">
        <f t="shared" si="3"/>
        <v>Кузнецов</v>
      </c>
      <c r="Q9" s="9">
        <f t="shared" si="4"/>
        <v>4</v>
      </c>
    </row>
    <row r="10" spans="1:17" x14ac:dyDescent="0.25">
      <c r="A10" s="9" t="s">
        <v>114</v>
      </c>
      <c r="B10" s="9" t="s">
        <v>29</v>
      </c>
      <c r="C10" s="10">
        <v>41796</v>
      </c>
      <c r="D10" s="9">
        <v>22</v>
      </c>
      <c r="E10" s="11">
        <v>70000</v>
      </c>
      <c r="F10" s="10">
        <v>46091</v>
      </c>
      <c r="G10" s="10">
        <v>46095</v>
      </c>
      <c r="H10" s="9">
        <f t="shared" ca="1" si="0"/>
        <v>12</v>
      </c>
      <c r="I10" s="9">
        <f t="shared" si="1"/>
        <v>5</v>
      </c>
      <c r="J10" s="11">
        <f t="shared" ca="1" si="2"/>
        <v>15909.09090909091</v>
      </c>
      <c r="P10" s="9" t="str">
        <f t="shared" si="3"/>
        <v>Иванов</v>
      </c>
      <c r="Q10" s="9">
        <f t="shared" si="4"/>
        <v>11</v>
      </c>
    </row>
    <row r="11" spans="1:17" ht="28.5" x14ac:dyDescent="0.25">
      <c r="A11" s="9" t="s">
        <v>116</v>
      </c>
      <c r="B11" s="9" t="s">
        <v>29</v>
      </c>
      <c r="C11" s="10">
        <v>41097</v>
      </c>
      <c r="D11" s="9">
        <v>22</v>
      </c>
      <c r="E11" s="11">
        <v>72000</v>
      </c>
      <c r="F11" s="10">
        <v>46033</v>
      </c>
      <c r="G11" s="10">
        <v>46039</v>
      </c>
      <c r="H11" s="9">
        <f t="shared" ca="1" si="0"/>
        <v>14</v>
      </c>
      <c r="I11" s="9">
        <f t="shared" si="1"/>
        <v>7</v>
      </c>
      <c r="J11" s="11">
        <f t="shared" ca="1" si="2"/>
        <v>22909.090909090908</v>
      </c>
      <c r="L11" s="8" t="s">
        <v>71</v>
      </c>
      <c r="M11" s="8" t="s">
        <v>164</v>
      </c>
      <c r="N11" s="8" t="s">
        <v>170</v>
      </c>
      <c r="P11" s="9" t="str">
        <f t="shared" si="3"/>
        <v>Петров</v>
      </c>
      <c r="Q11" s="9">
        <f t="shared" si="4"/>
        <v>5</v>
      </c>
    </row>
    <row r="12" spans="1:17" x14ac:dyDescent="0.25">
      <c r="A12" s="9" t="s">
        <v>118</v>
      </c>
      <c r="B12" s="9" t="s">
        <v>29</v>
      </c>
      <c r="C12" s="10">
        <v>40398</v>
      </c>
      <c r="D12" s="9">
        <v>22</v>
      </c>
      <c r="E12" s="11">
        <v>74000</v>
      </c>
      <c r="F12" s="10">
        <v>46065</v>
      </c>
      <c r="G12" s="10">
        <v>46067</v>
      </c>
      <c r="H12" s="9">
        <f t="shared" ca="1" si="0"/>
        <v>16</v>
      </c>
      <c r="I12" s="9">
        <f t="shared" si="1"/>
        <v>3</v>
      </c>
      <c r="J12" s="11">
        <f t="shared" ca="1" si="2"/>
        <v>10090.90909090909</v>
      </c>
      <c r="L12" s="9" t="s">
        <v>28</v>
      </c>
      <c r="M12" s="9">
        <f ca="1">SUMIF(B5:B14,L12,J5:J14)</f>
        <v>40763.636363636368</v>
      </c>
      <c r="N12" s="9">
        <f>SUMIF(B5:B14,L12,I5:I14)</f>
        <v>21</v>
      </c>
      <c r="P12" s="9" t="str">
        <f t="shared" si="3"/>
        <v>Сидорова</v>
      </c>
      <c r="Q12" s="9">
        <f t="shared" si="4"/>
        <v>7</v>
      </c>
    </row>
    <row r="13" spans="1:17" x14ac:dyDescent="0.25">
      <c r="A13" s="9" t="s">
        <v>112</v>
      </c>
      <c r="B13" s="9" t="s">
        <v>30</v>
      </c>
      <c r="C13" s="10">
        <v>39700</v>
      </c>
      <c r="D13" s="9">
        <v>22</v>
      </c>
      <c r="E13" s="11">
        <v>76000</v>
      </c>
      <c r="F13" s="10">
        <v>46094</v>
      </c>
      <c r="G13" s="10">
        <v>46102</v>
      </c>
      <c r="H13" s="9">
        <f t="shared" ca="1" si="0"/>
        <v>18</v>
      </c>
      <c r="I13" s="9">
        <f t="shared" si="1"/>
        <v>9</v>
      </c>
      <c r="J13" s="11">
        <f t="shared" ca="1" si="2"/>
        <v>31090.909090909092</v>
      </c>
      <c r="L13" s="9" t="s">
        <v>29</v>
      </c>
      <c r="M13" s="9">
        <f ca="1">SUMIF(B5:B14,L13,J5:J14)</f>
        <v>82909.090909090912</v>
      </c>
      <c r="N13" s="9">
        <f>SUMIF(B5:B14,L13,I5:I14)</f>
        <v>26</v>
      </c>
      <c r="P13" s="9" t="str">
        <f t="shared" si="3"/>
        <v>Кузнецов</v>
      </c>
      <c r="Q13" s="9">
        <f t="shared" si="4"/>
        <v>3</v>
      </c>
    </row>
    <row r="14" spans="1:17" x14ac:dyDescent="0.25">
      <c r="A14" s="9" t="s">
        <v>114</v>
      </c>
      <c r="B14" s="9" t="s">
        <v>30</v>
      </c>
      <c r="C14" s="10">
        <v>39000</v>
      </c>
      <c r="D14" s="9">
        <v>22</v>
      </c>
      <c r="E14" s="11">
        <v>78000</v>
      </c>
      <c r="F14" s="10">
        <v>46036</v>
      </c>
      <c r="G14" s="10">
        <v>46041</v>
      </c>
      <c r="H14" s="9">
        <f t="shared" ca="1" si="0"/>
        <v>19</v>
      </c>
      <c r="I14" s="9">
        <f t="shared" si="1"/>
        <v>6</v>
      </c>
      <c r="J14" s="11">
        <f t="shared" ca="1" si="2"/>
        <v>21272.727272727272</v>
      </c>
      <c r="L14" s="9" t="s">
        <v>30</v>
      </c>
      <c r="M14" s="9">
        <f ca="1">SUMIF(B5:B14,L14,J5:J14)</f>
        <v>52363.636363636368</v>
      </c>
      <c r="N14" s="9">
        <f>SUMIF(B5:B14,L14,I5:I14)</f>
        <v>15</v>
      </c>
      <c r="P14" s="9" t="str">
        <f t="shared" si="3"/>
        <v>Иванов</v>
      </c>
      <c r="Q14" s="9">
        <f t="shared" si="4"/>
        <v>9</v>
      </c>
    </row>
    <row r="15" spans="1:17" x14ac:dyDescent="0.25">
      <c r="P15" s="9" t="str">
        <f t="shared" si="3"/>
        <v>Петров</v>
      </c>
      <c r="Q15" s="9">
        <f t="shared" si="4"/>
        <v>6</v>
      </c>
    </row>
  </sheetData>
  <mergeCells count="1">
    <mergeCell ref="A1:F1"/>
  </mergeCells>
  <pageMargins left="0.3" right="0.3" top="0.5" bottom="0.5" header="0.5" footer="0.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34"/>
  <sheetViews>
    <sheetView showGridLines="0" tabSelected="1" workbookViewId="0">
      <pane ySplit="3" topLeftCell="A4" activePane="bottomLeft" state="frozen"/>
      <selection pane="bottomLeft" activeCell="F14" sqref="F14"/>
    </sheetView>
  </sheetViews>
  <sheetFormatPr defaultRowHeight="18.75" x14ac:dyDescent="0.3"/>
  <cols>
    <col min="1" max="1" width="28" style="3" customWidth="1"/>
    <col min="2" max="3" width="11" style="3" customWidth="1"/>
    <col min="4" max="4" width="14" style="3" customWidth="1"/>
    <col min="5" max="5" width="25" style="3" customWidth="1"/>
    <col min="6" max="6" width="10" style="3" customWidth="1"/>
    <col min="7" max="16384" width="9.140625" style="3"/>
  </cols>
  <sheetData>
    <row r="1" spans="1:6" x14ac:dyDescent="0.3">
      <c r="A1" s="1" t="s">
        <v>171</v>
      </c>
      <c r="B1" s="2"/>
      <c r="C1" s="2"/>
      <c r="D1" s="2"/>
      <c r="E1" s="2"/>
      <c r="F1" s="2"/>
    </row>
    <row r="3" spans="1:6" ht="37.5" x14ac:dyDescent="0.3">
      <c r="A3" s="4" t="s">
        <v>172</v>
      </c>
      <c r="B3" s="4" t="s">
        <v>173</v>
      </c>
      <c r="C3" s="4" t="s">
        <v>174</v>
      </c>
      <c r="D3" s="4" t="s">
        <v>175</v>
      </c>
      <c r="E3" s="4" t="s">
        <v>176</v>
      </c>
    </row>
    <row r="4" spans="1:6" x14ac:dyDescent="0.3">
      <c r="A4" s="5">
        <v>-3</v>
      </c>
      <c r="B4" s="3">
        <f t="shared" ref="B4:B34" si="0">SIN(A4)</f>
        <v>-0.14112000805986721</v>
      </c>
      <c r="C4" s="3">
        <f t="shared" ref="C4:C34" si="1">COS(A4)</f>
        <v>-0.98999249660044542</v>
      </c>
      <c r="D4" s="3">
        <f t="shared" ref="D4:D34" si="2">A4^2</f>
        <v>9</v>
      </c>
      <c r="E4" s="3">
        <f t="shared" ref="E4:E34" si="3">IF(A4&gt;=0,5*A4,A4^2)</f>
        <v>9</v>
      </c>
    </row>
    <row r="5" spans="1:6" x14ac:dyDescent="0.3">
      <c r="A5" s="5">
        <v>-2.8</v>
      </c>
      <c r="B5" s="3">
        <f t="shared" si="0"/>
        <v>-0.33498815015590511</v>
      </c>
      <c r="C5" s="3">
        <f t="shared" si="1"/>
        <v>-0.94222234066865806</v>
      </c>
      <c r="D5" s="3">
        <f t="shared" si="2"/>
        <v>7.839999999999999</v>
      </c>
      <c r="E5" s="3">
        <f t="shared" si="3"/>
        <v>7.839999999999999</v>
      </c>
    </row>
    <row r="6" spans="1:6" x14ac:dyDescent="0.3">
      <c r="A6" s="5">
        <v>-2.6</v>
      </c>
      <c r="B6" s="3">
        <f t="shared" si="0"/>
        <v>-0.51550137182146416</v>
      </c>
      <c r="C6" s="3">
        <f t="shared" si="1"/>
        <v>-0.85688875336894732</v>
      </c>
      <c r="D6" s="3">
        <f t="shared" si="2"/>
        <v>6.7600000000000007</v>
      </c>
      <c r="E6" s="3">
        <f t="shared" si="3"/>
        <v>6.7600000000000007</v>
      </c>
    </row>
    <row r="7" spans="1:6" x14ac:dyDescent="0.3">
      <c r="A7" s="5">
        <v>-2.4</v>
      </c>
      <c r="B7" s="3">
        <f t="shared" si="0"/>
        <v>-0.67546318055115095</v>
      </c>
      <c r="C7" s="3">
        <f t="shared" si="1"/>
        <v>-0.73739371554124544</v>
      </c>
      <c r="D7" s="3">
        <f t="shared" si="2"/>
        <v>5.76</v>
      </c>
      <c r="E7" s="3">
        <f t="shared" si="3"/>
        <v>5.76</v>
      </c>
    </row>
    <row r="8" spans="1:6" x14ac:dyDescent="0.3">
      <c r="A8" s="5">
        <v>-2.2000000000000002</v>
      </c>
      <c r="B8" s="3">
        <f t="shared" si="0"/>
        <v>-0.80849640381959009</v>
      </c>
      <c r="C8" s="3">
        <f t="shared" si="1"/>
        <v>-0.58850111725534582</v>
      </c>
      <c r="D8" s="3">
        <f t="shared" si="2"/>
        <v>4.8400000000000007</v>
      </c>
      <c r="E8" s="3">
        <f t="shared" si="3"/>
        <v>4.8400000000000007</v>
      </c>
    </row>
    <row r="9" spans="1:6" x14ac:dyDescent="0.3">
      <c r="A9" s="5">
        <v>-2</v>
      </c>
      <c r="B9" s="3">
        <f t="shared" si="0"/>
        <v>-0.90929742682568171</v>
      </c>
      <c r="C9" s="3">
        <f t="shared" si="1"/>
        <v>-0.41614683654714241</v>
      </c>
      <c r="D9" s="3">
        <f t="shared" si="2"/>
        <v>4</v>
      </c>
      <c r="E9" s="3">
        <f t="shared" si="3"/>
        <v>4</v>
      </c>
    </row>
    <row r="10" spans="1:6" x14ac:dyDescent="0.3">
      <c r="A10" s="5">
        <v>-1.8</v>
      </c>
      <c r="B10" s="3">
        <f t="shared" si="0"/>
        <v>-0.97384763087819515</v>
      </c>
      <c r="C10" s="3">
        <f t="shared" si="1"/>
        <v>-0.22720209469308711</v>
      </c>
      <c r="D10" s="3">
        <f t="shared" si="2"/>
        <v>3.24</v>
      </c>
      <c r="E10" s="3">
        <f t="shared" si="3"/>
        <v>3.24</v>
      </c>
    </row>
    <row r="11" spans="1:6" x14ac:dyDescent="0.3">
      <c r="A11" s="5">
        <v>-1.6</v>
      </c>
      <c r="B11" s="3">
        <f t="shared" si="0"/>
        <v>-0.99957360304150511</v>
      </c>
      <c r="C11" s="3">
        <f t="shared" si="1"/>
        <v>-2.9199522301288815E-2</v>
      </c>
      <c r="D11" s="3">
        <f t="shared" si="2"/>
        <v>2.5600000000000005</v>
      </c>
      <c r="E11" s="3">
        <f t="shared" si="3"/>
        <v>2.5600000000000005</v>
      </c>
    </row>
    <row r="12" spans="1:6" x14ac:dyDescent="0.3">
      <c r="A12" s="5">
        <v>-1.4</v>
      </c>
      <c r="B12" s="3">
        <f t="shared" si="0"/>
        <v>-0.98544972998846014</v>
      </c>
      <c r="C12" s="3">
        <f t="shared" si="1"/>
        <v>0.16996714290024104</v>
      </c>
      <c r="D12" s="3">
        <f t="shared" si="2"/>
        <v>1.9599999999999997</v>
      </c>
      <c r="E12" s="3">
        <f t="shared" si="3"/>
        <v>1.9599999999999997</v>
      </c>
    </row>
    <row r="13" spans="1:6" x14ac:dyDescent="0.3">
      <c r="A13" s="5">
        <v>-1.2</v>
      </c>
      <c r="B13" s="3">
        <f t="shared" si="0"/>
        <v>-0.93203908596722629</v>
      </c>
      <c r="C13" s="3">
        <f t="shared" si="1"/>
        <v>0.36235775447667362</v>
      </c>
      <c r="D13" s="3">
        <f t="shared" si="2"/>
        <v>1.44</v>
      </c>
      <c r="E13" s="3">
        <f t="shared" si="3"/>
        <v>1.44</v>
      </c>
    </row>
    <row r="14" spans="1:6" x14ac:dyDescent="0.3">
      <c r="A14" s="5">
        <v>-1</v>
      </c>
      <c r="B14" s="3">
        <f t="shared" si="0"/>
        <v>-0.8414709848078965</v>
      </c>
      <c r="C14" s="3">
        <f t="shared" si="1"/>
        <v>0.54030230586813977</v>
      </c>
      <c r="D14" s="3">
        <f t="shared" si="2"/>
        <v>1</v>
      </c>
      <c r="E14" s="3">
        <f t="shared" si="3"/>
        <v>1</v>
      </c>
    </row>
    <row r="15" spans="1:6" x14ac:dyDescent="0.3">
      <c r="A15" s="5">
        <v>-0.79999999999999982</v>
      </c>
      <c r="B15" s="3">
        <f t="shared" si="0"/>
        <v>-0.71735609089952268</v>
      </c>
      <c r="C15" s="3">
        <f t="shared" si="1"/>
        <v>0.6967067093471655</v>
      </c>
      <c r="D15" s="3">
        <f t="shared" si="2"/>
        <v>0.63999999999999968</v>
      </c>
      <c r="E15" s="3">
        <f t="shared" si="3"/>
        <v>0.63999999999999968</v>
      </c>
    </row>
    <row r="16" spans="1:6" x14ac:dyDescent="0.3">
      <c r="A16" s="5">
        <v>-0.59999999999999964</v>
      </c>
      <c r="B16" s="3">
        <f t="shared" si="0"/>
        <v>-0.56464247339503504</v>
      </c>
      <c r="C16" s="3">
        <f t="shared" si="1"/>
        <v>0.82533561490967855</v>
      </c>
      <c r="D16" s="3">
        <f t="shared" si="2"/>
        <v>0.3599999999999996</v>
      </c>
      <c r="E16" s="3">
        <f t="shared" si="3"/>
        <v>0.3599999999999996</v>
      </c>
    </row>
    <row r="17" spans="1:5" x14ac:dyDescent="0.3">
      <c r="A17" s="5">
        <v>-0.39999999999999991</v>
      </c>
      <c r="B17" s="3">
        <f t="shared" si="0"/>
        <v>-0.38941834230865041</v>
      </c>
      <c r="C17" s="3">
        <f t="shared" si="1"/>
        <v>0.9210609940028851</v>
      </c>
      <c r="D17" s="3">
        <f t="shared" si="2"/>
        <v>0.15999999999999992</v>
      </c>
      <c r="E17" s="3">
        <f t="shared" si="3"/>
        <v>0.15999999999999992</v>
      </c>
    </row>
    <row r="18" spans="1:5" x14ac:dyDescent="0.3">
      <c r="A18" s="5">
        <v>-0.19999999999999971</v>
      </c>
      <c r="B18" s="3">
        <f t="shared" si="0"/>
        <v>-0.19866933079506094</v>
      </c>
      <c r="C18" s="3">
        <f t="shared" si="1"/>
        <v>0.98006657784124174</v>
      </c>
      <c r="D18" s="3">
        <f t="shared" si="2"/>
        <v>3.9999999999999883E-2</v>
      </c>
      <c r="E18" s="3">
        <f t="shared" si="3"/>
        <v>3.9999999999999883E-2</v>
      </c>
    </row>
    <row r="19" spans="1:5" x14ac:dyDescent="0.3">
      <c r="A19" s="5">
        <v>0</v>
      </c>
      <c r="B19" s="3">
        <f t="shared" si="0"/>
        <v>0</v>
      </c>
      <c r="C19" s="3">
        <f t="shared" si="1"/>
        <v>1</v>
      </c>
      <c r="D19" s="3">
        <f t="shared" si="2"/>
        <v>0</v>
      </c>
      <c r="E19" s="3">
        <f t="shared" si="3"/>
        <v>0</v>
      </c>
    </row>
    <row r="20" spans="1:5" x14ac:dyDescent="0.3">
      <c r="A20" s="5">
        <v>0.20000000000000021</v>
      </c>
      <c r="B20" s="3">
        <f t="shared" si="0"/>
        <v>0.19866933079506141</v>
      </c>
      <c r="C20" s="3">
        <f t="shared" si="1"/>
        <v>0.98006657784124163</v>
      </c>
      <c r="D20" s="3">
        <f t="shared" si="2"/>
        <v>4.0000000000000084E-2</v>
      </c>
      <c r="E20" s="3">
        <f t="shared" si="3"/>
        <v>1.0000000000000011</v>
      </c>
    </row>
    <row r="21" spans="1:5" x14ac:dyDescent="0.3">
      <c r="A21" s="5">
        <v>0.40000000000000041</v>
      </c>
      <c r="B21" s="3">
        <f t="shared" si="0"/>
        <v>0.38941834230865086</v>
      </c>
      <c r="C21" s="3">
        <f t="shared" si="1"/>
        <v>0.92106099400288488</v>
      </c>
      <c r="D21" s="3">
        <f t="shared" si="2"/>
        <v>0.16000000000000034</v>
      </c>
      <c r="E21" s="3">
        <f t="shared" si="3"/>
        <v>2.0000000000000022</v>
      </c>
    </row>
    <row r="22" spans="1:5" x14ac:dyDescent="0.3">
      <c r="A22" s="5">
        <v>0.60000000000000009</v>
      </c>
      <c r="B22" s="3">
        <f t="shared" si="0"/>
        <v>0.56464247339503548</v>
      </c>
      <c r="C22" s="3">
        <f t="shared" si="1"/>
        <v>0.82533561490967822</v>
      </c>
      <c r="D22" s="3">
        <f t="shared" si="2"/>
        <v>0.3600000000000001</v>
      </c>
      <c r="E22" s="3">
        <f t="shared" si="3"/>
        <v>3.0000000000000004</v>
      </c>
    </row>
    <row r="23" spans="1:5" x14ac:dyDescent="0.3">
      <c r="A23" s="5">
        <v>0.80000000000000027</v>
      </c>
      <c r="B23" s="3">
        <f t="shared" si="0"/>
        <v>0.7173560908995229</v>
      </c>
      <c r="C23" s="3">
        <f t="shared" si="1"/>
        <v>0.69670670934716528</v>
      </c>
      <c r="D23" s="3">
        <f t="shared" si="2"/>
        <v>0.64000000000000046</v>
      </c>
      <c r="E23" s="3">
        <f t="shared" si="3"/>
        <v>4.0000000000000018</v>
      </c>
    </row>
    <row r="24" spans="1:5" x14ac:dyDescent="0.3">
      <c r="A24" s="5">
        <v>1</v>
      </c>
      <c r="B24" s="3">
        <f t="shared" si="0"/>
        <v>0.8414709848078965</v>
      </c>
      <c r="C24" s="3">
        <f t="shared" si="1"/>
        <v>0.54030230586813977</v>
      </c>
      <c r="D24" s="3">
        <f t="shared" si="2"/>
        <v>1</v>
      </c>
      <c r="E24" s="3">
        <f t="shared" si="3"/>
        <v>5</v>
      </c>
    </row>
    <row r="25" spans="1:5" x14ac:dyDescent="0.3">
      <c r="A25" s="5">
        <v>1.2</v>
      </c>
      <c r="B25" s="3">
        <f t="shared" si="0"/>
        <v>0.93203908596722629</v>
      </c>
      <c r="C25" s="3">
        <f t="shared" si="1"/>
        <v>0.36235775447667362</v>
      </c>
      <c r="D25" s="3">
        <f t="shared" si="2"/>
        <v>1.44</v>
      </c>
      <c r="E25" s="3">
        <f t="shared" si="3"/>
        <v>6</v>
      </c>
    </row>
    <row r="26" spans="1:5" x14ac:dyDescent="0.3">
      <c r="A26" s="5">
        <v>1.4</v>
      </c>
      <c r="B26" s="3">
        <f t="shared" si="0"/>
        <v>0.98544972998846014</v>
      </c>
      <c r="C26" s="3">
        <f t="shared" si="1"/>
        <v>0.16996714290024104</v>
      </c>
      <c r="D26" s="3">
        <f t="shared" si="2"/>
        <v>1.9599999999999997</v>
      </c>
      <c r="E26" s="3">
        <f t="shared" si="3"/>
        <v>7</v>
      </c>
    </row>
    <row r="27" spans="1:5" x14ac:dyDescent="0.3">
      <c r="A27" s="5">
        <v>1.600000000000001</v>
      </c>
      <c r="B27" s="3">
        <f t="shared" si="0"/>
        <v>0.99957360304150511</v>
      </c>
      <c r="C27" s="3">
        <f t="shared" si="1"/>
        <v>-2.9199522301289704E-2</v>
      </c>
      <c r="D27" s="3">
        <f t="shared" si="2"/>
        <v>2.5600000000000032</v>
      </c>
      <c r="E27" s="3">
        <f t="shared" si="3"/>
        <v>8.0000000000000053</v>
      </c>
    </row>
    <row r="28" spans="1:5" x14ac:dyDescent="0.3">
      <c r="A28" s="5">
        <v>1.8000000000000009</v>
      </c>
      <c r="B28" s="3">
        <f t="shared" si="0"/>
        <v>0.97384763087819493</v>
      </c>
      <c r="C28" s="3">
        <f t="shared" si="1"/>
        <v>-0.22720209469308797</v>
      </c>
      <c r="D28" s="3">
        <f t="shared" si="2"/>
        <v>3.2400000000000033</v>
      </c>
      <c r="E28" s="3">
        <f t="shared" si="3"/>
        <v>9.0000000000000053</v>
      </c>
    </row>
    <row r="29" spans="1:5" x14ac:dyDescent="0.3">
      <c r="A29" s="5">
        <v>2</v>
      </c>
      <c r="B29" s="3">
        <f t="shared" si="0"/>
        <v>0.90929742682568171</v>
      </c>
      <c r="C29" s="3">
        <f t="shared" si="1"/>
        <v>-0.41614683654714241</v>
      </c>
      <c r="D29" s="3">
        <f t="shared" si="2"/>
        <v>4</v>
      </c>
      <c r="E29" s="3">
        <f t="shared" si="3"/>
        <v>10</v>
      </c>
    </row>
    <row r="30" spans="1:5" x14ac:dyDescent="0.3">
      <c r="A30" s="5">
        <v>2.2000000000000002</v>
      </c>
      <c r="B30" s="3">
        <f t="shared" si="0"/>
        <v>0.80849640381959009</v>
      </c>
      <c r="C30" s="3">
        <f t="shared" si="1"/>
        <v>-0.58850111725534582</v>
      </c>
      <c r="D30" s="3">
        <f t="shared" si="2"/>
        <v>4.8400000000000007</v>
      </c>
      <c r="E30" s="3">
        <f t="shared" si="3"/>
        <v>11</v>
      </c>
    </row>
    <row r="31" spans="1:5" x14ac:dyDescent="0.3">
      <c r="A31" s="5">
        <v>2.4</v>
      </c>
      <c r="B31" s="3">
        <f t="shared" si="0"/>
        <v>0.67546318055115095</v>
      </c>
      <c r="C31" s="3">
        <f t="shared" si="1"/>
        <v>-0.73739371554124544</v>
      </c>
      <c r="D31" s="3">
        <f t="shared" si="2"/>
        <v>5.76</v>
      </c>
      <c r="E31" s="3">
        <f t="shared" si="3"/>
        <v>12</v>
      </c>
    </row>
    <row r="32" spans="1:5" x14ac:dyDescent="0.3">
      <c r="A32" s="5">
        <v>2.600000000000001</v>
      </c>
      <c r="B32" s="3">
        <f t="shared" si="0"/>
        <v>0.51550137182146338</v>
      </c>
      <c r="C32" s="3">
        <f t="shared" si="1"/>
        <v>-0.85688875336894776</v>
      </c>
      <c r="D32" s="3">
        <f t="shared" si="2"/>
        <v>6.7600000000000051</v>
      </c>
      <c r="E32" s="3">
        <f t="shared" si="3"/>
        <v>13.000000000000005</v>
      </c>
    </row>
    <row r="33" spans="1:5" x14ac:dyDescent="0.3">
      <c r="A33" s="5">
        <v>2.8000000000000012</v>
      </c>
      <c r="B33" s="3">
        <f t="shared" si="0"/>
        <v>0.33498815015590383</v>
      </c>
      <c r="C33" s="3">
        <f t="shared" si="1"/>
        <v>-0.94222234066865851</v>
      </c>
      <c r="D33" s="3">
        <f t="shared" si="2"/>
        <v>7.8400000000000061</v>
      </c>
      <c r="E33" s="3">
        <f t="shared" si="3"/>
        <v>14.000000000000005</v>
      </c>
    </row>
    <row r="34" spans="1:5" x14ac:dyDescent="0.3">
      <c r="A34" s="5">
        <v>3</v>
      </c>
      <c r="B34" s="3">
        <f t="shared" si="0"/>
        <v>0.14112000805986721</v>
      </c>
      <c r="C34" s="3">
        <f t="shared" si="1"/>
        <v>-0.98999249660044542</v>
      </c>
      <c r="D34" s="3">
        <f t="shared" si="2"/>
        <v>9</v>
      </c>
      <c r="E34" s="3">
        <f t="shared" si="3"/>
        <v>15</v>
      </c>
    </row>
  </sheetData>
  <mergeCells count="1">
    <mergeCell ref="A1:F1"/>
  </mergeCells>
  <pageMargins left="0.3" right="0.3" top="0.5" bottom="0.5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Содержание</vt:lpstr>
      <vt:lpstr>Задание 1</vt:lpstr>
      <vt:lpstr>Горизонт</vt:lpstr>
      <vt:lpstr>Общий отчет</vt:lpstr>
      <vt:lpstr>Задание 2</vt:lpstr>
      <vt:lpstr>Задание 3</vt:lpstr>
      <vt:lpstr>Задание 4</vt:lpstr>
      <vt:lpstr>Задание 5</vt:lpstr>
      <vt:lpstr>Задание 6</vt:lpstr>
      <vt:lpstr>Задание 7</vt:lpstr>
      <vt:lpstr>Задание 8</vt:lpstr>
      <vt:lpstr>Задание 9</vt:lpstr>
      <vt:lpstr>Задание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Федотов</cp:lastModifiedBy>
  <dcterms:created xsi:type="dcterms:W3CDTF">2026-10-06T17:14:54Z</dcterms:created>
  <dcterms:modified xsi:type="dcterms:W3CDTF">2026-10-07T19:16:26Z</dcterms:modified>
</cp:coreProperties>
</file>
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Михаил\Desktop\"/>
    </mc:Choice>
  </mc:AlternateContent>
  <xr:revisionPtr revIDLastSave="0" documentId="13_ncr:1_{3F3DD05B-F2E3-4CC4-AFEC-3A6B5A78A21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Содержание" sheetId="1" r:id="rId1"/>
    <sheet name="Задание 1" sheetId="2" r:id="rId2"/>
    <sheet name="Задание 2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3" l="1"/>
  <c r="F20" i="3"/>
  <c r="E20" i="3"/>
  <c r="L19" i="3"/>
  <c r="L18" i="3"/>
  <c r="L17" i="3"/>
  <c r="L16" i="3"/>
  <c r="L15" i="3"/>
  <c r="L14" i="3"/>
  <c r="L13" i="3"/>
  <c r="L12" i="3"/>
  <c r="L11" i="3"/>
  <c r="L10" i="3"/>
  <c r="T9" i="3"/>
  <c r="S9" i="3"/>
  <c r="R9" i="3"/>
  <c r="Q9" i="3"/>
  <c r="T8" i="3"/>
  <c r="S8" i="3"/>
  <c r="R8" i="3"/>
  <c r="Q8" i="3"/>
  <c r="T7" i="3"/>
  <c r="S7" i="3"/>
  <c r="R7" i="3"/>
  <c r="Q7" i="3"/>
  <c r="B7" i="3"/>
  <c r="T6" i="3"/>
  <c r="S6" i="3"/>
  <c r="R6" i="3"/>
  <c r="Q6" i="3"/>
  <c r="B6" i="3"/>
  <c r="T5" i="3"/>
  <c r="S5" i="3"/>
  <c r="R5" i="3"/>
  <c r="Q5" i="3"/>
  <c r="C5" i="3"/>
  <c r="B5" i="3"/>
  <c r="B4" i="3"/>
  <c r="G14" i="3" s="1"/>
  <c r="K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U5" i="2"/>
  <c r="T5" i="2"/>
  <c r="S5" i="2"/>
  <c r="R5" i="2"/>
  <c r="Q5" i="2"/>
  <c r="H15" i="2" l="1"/>
  <c r="I15" i="2" s="1"/>
  <c r="U6" i="2" s="1"/>
  <c r="H14" i="2"/>
  <c r="I14" i="2" s="1"/>
  <c r="H13" i="2"/>
  <c r="H12" i="2"/>
  <c r="I12" i="2" s="1"/>
  <c r="H11" i="2"/>
  <c r="I11" i="2" s="1"/>
  <c r="G11" i="3"/>
  <c r="H11" i="3" s="1"/>
  <c r="I11" i="3" s="1"/>
  <c r="G21" i="2"/>
  <c r="H19" i="2"/>
  <c r="I19" i="2" s="1"/>
  <c r="G18" i="3"/>
  <c r="H18" i="3" s="1"/>
  <c r="I18" i="3" s="1"/>
  <c r="I13" i="2"/>
  <c r="H20" i="2"/>
  <c r="I20" i="2" s="1"/>
  <c r="L20" i="3"/>
  <c r="C6" i="3"/>
  <c r="C7" i="3" s="1"/>
  <c r="H14" i="3"/>
  <c r="I14" i="3" s="1"/>
  <c r="H17" i="2"/>
  <c r="I17" i="2" s="1"/>
  <c r="F21" i="2"/>
  <c r="H16" i="2"/>
  <c r="G19" i="3"/>
  <c r="G15" i="3"/>
  <c r="G10" i="3"/>
  <c r="H18" i="2"/>
  <c r="I18" i="2" s="1"/>
  <c r="J15" i="2" l="1"/>
  <c r="U8" i="2" s="1"/>
  <c r="L15" i="2"/>
  <c r="M15" i="2" s="1"/>
  <c r="N15" i="2" s="1"/>
  <c r="U9" i="2" s="1"/>
  <c r="U7" i="2"/>
  <c r="J12" i="2"/>
  <c r="L12" i="2"/>
  <c r="G17" i="3"/>
  <c r="H17" i="3" s="1"/>
  <c r="I17" i="3" s="1"/>
  <c r="J17" i="3" s="1"/>
  <c r="M17" i="3" s="1"/>
  <c r="N17" i="3" s="1"/>
  <c r="G13" i="3"/>
  <c r="H13" i="3" s="1"/>
  <c r="I13" i="3" s="1"/>
  <c r="H21" i="2"/>
  <c r="L19" i="2"/>
  <c r="J19" i="2"/>
  <c r="L13" i="2"/>
  <c r="J13" i="2"/>
  <c r="J11" i="2"/>
  <c r="Q13" i="2"/>
  <c r="L11" i="2"/>
  <c r="L14" i="2"/>
  <c r="J14" i="2"/>
  <c r="M14" i="2" s="1"/>
  <c r="N14" i="2" s="1"/>
  <c r="J20" i="2"/>
  <c r="L20" i="2"/>
  <c r="R13" i="2"/>
  <c r="I16" i="2"/>
  <c r="Q6" i="2"/>
  <c r="G16" i="3"/>
  <c r="H16" i="3" s="1"/>
  <c r="I16" i="3" s="1"/>
  <c r="G12" i="3"/>
  <c r="J18" i="3"/>
  <c r="M18" i="3" s="1"/>
  <c r="N18" i="3" s="1"/>
  <c r="L17" i="2"/>
  <c r="J17" i="2"/>
  <c r="S6" i="2"/>
  <c r="L18" i="2"/>
  <c r="J18" i="2"/>
  <c r="T6" i="2"/>
  <c r="J14" i="3"/>
  <c r="M14" i="3" s="1"/>
  <c r="N14" i="3" s="1"/>
  <c r="J11" i="3"/>
  <c r="M11" i="3" s="1"/>
  <c r="N11" i="3" s="1"/>
  <c r="H10" i="3"/>
  <c r="H15" i="3"/>
  <c r="I15" i="3" s="1"/>
  <c r="H19" i="3"/>
  <c r="I19" i="3" s="1"/>
  <c r="M18" i="2" l="1"/>
  <c r="N18" i="2" s="1"/>
  <c r="T9" i="2" s="1"/>
  <c r="M19" i="2"/>
  <c r="N19" i="2" s="1"/>
  <c r="Q7" i="2"/>
  <c r="M12" i="2"/>
  <c r="N12" i="2" s="1"/>
  <c r="M17" i="2"/>
  <c r="N17" i="2" s="1"/>
  <c r="J13" i="3"/>
  <c r="M13" i="3" s="1"/>
  <c r="N13" i="3" s="1"/>
  <c r="T10" i="3"/>
  <c r="M11" i="2"/>
  <c r="N11" i="2" s="1"/>
  <c r="Q8" i="2"/>
  <c r="I21" i="2"/>
  <c r="L16" i="2"/>
  <c r="J16" i="2"/>
  <c r="R6" i="2"/>
  <c r="H12" i="3"/>
  <c r="G20" i="3"/>
  <c r="T7" i="2"/>
  <c r="S7" i="2"/>
  <c r="M13" i="2"/>
  <c r="N13" i="2" s="1"/>
  <c r="S8" i="2"/>
  <c r="T8" i="2"/>
  <c r="M20" i="2"/>
  <c r="N20" i="2" s="1"/>
  <c r="R12" i="2" s="1"/>
  <c r="J16" i="3"/>
  <c r="M16" i="3" s="1"/>
  <c r="N16" i="3" s="1"/>
  <c r="J19" i="3"/>
  <c r="M19" i="3" s="1"/>
  <c r="N19" i="3" s="1"/>
  <c r="J15" i="3"/>
  <c r="M15" i="3" s="1"/>
  <c r="N15" i="3" s="1"/>
  <c r="R10" i="3"/>
  <c r="I10" i="3"/>
  <c r="J21" i="2" l="1"/>
  <c r="R8" i="2"/>
  <c r="S9" i="2"/>
  <c r="M16" i="2"/>
  <c r="I12" i="3"/>
  <c r="H20" i="3"/>
  <c r="J12" i="3"/>
  <c r="M12" i="3" s="1"/>
  <c r="N12" i="3" s="1"/>
  <c r="R7" i="2"/>
  <c r="L21" i="2"/>
  <c r="J10" i="3"/>
  <c r="Q10" i="3"/>
  <c r="Q12" i="2"/>
  <c r="Q14" i="2" s="1"/>
  <c r="Q9" i="2"/>
  <c r="S10" i="3" l="1"/>
  <c r="I20" i="3"/>
  <c r="N16" i="2"/>
  <c r="M21" i="2"/>
  <c r="J20" i="3"/>
  <c r="M10" i="3"/>
  <c r="N21" i="2" l="1"/>
  <c r="R9" i="2"/>
  <c r="M20" i="3"/>
  <c r="N10" i="3"/>
  <c r="N20" i="3" s="1"/>
</calcChain>
</file>

<file path=xl/sharedStrings.xml><?xml version="1.0" encoding="utf-8"?>
<sst xmlns="http://schemas.openxmlformats.org/spreadsheetml/2006/main" count="114" uniqueCount="77">
  <si>
    <t>Раздел</t>
  </si>
  <si>
    <t>Содержание</t>
  </si>
  <si>
    <t>Задание 1</t>
  </si>
  <si>
    <t>Расчёт заработной платы сотрудников предприятия</t>
  </si>
  <si>
    <t>Задание 2</t>
  </si>
  <si>
    <t>Расчёт сдельной заработной платы</t>
  </si>
  <si>
    <t>Задание 1. Расчётно-платёжная ведомость</t>
  </si>
  <si>
    <t>Минимум</t>
  </si>
  <si>
    <t>Уральский коэффициент</t>
  </si>
  <si>
    <t>НДФЛ</t>
  </si>
  <si>
    <t>Рабочих дней</t>
  </si>
  <si>
    <t>Разряд</t>
  </si>
  <si>
    <t>Коэффициент</t>
  </si>
  <si>
    <t>Ночная доплата</t>
  </si>
  <si>
    <t>ОТЧЁТ ПО РАЗРЯДАМ</t>
  </si>
  <si>
    <t>Количество сотрудников, работавших ночью</t>
  </si>
  <si>
    <t>Начисленная сумма</t>
  </si>
  <si>
    <t>Количество сотрудников, выплачивающих алименты</t>
  </si>
  <si>
    <t>Удержанный налог</t>
  </si>
  <si>
    <t>Сумма к выдаче</t>
  </si>
  <si>
    <t>№</t>
  </si>
  <si>
    <t>ФИО</t>
  </si>
  <si>
    <t>Отработано рабочих дней</t>
  </si>
  <si>
    <t>Ночные часы</t>
  </si>
  <si>
    <t>По разряду</t>
  </si>
  <si>
    <t>За работу в ночное время</t>
  </si>
  <si>
    <t>Всего начислено</t>
  </si>
  <si>
    <t>Налог на доход</t>
  </si>
  <si>
    <t>Кол-во детей</t>
  </si>
  <si>
    <t>Сумма алиментов</t>
  </si>
  <si>
    <t>Итого удержано</t>
  </si>
  <si>
    <t>К выдаче</t>
  </si>
  <si>
    <t>Иванов П.П.</t>
  </si>
  <si>
    <t>ПРОВЕРКА ПЕРВОГО И ПОСЛЕДНЕГО СОТРУДНИКА</t>
  </si>
  <si>
    <t>Петров А.А.</t>
  </si>
  <si>
    <t>Сидоров И.И.</t>
  </si>
  <si>
    <t>Кузнецов В.В.</t>
  </si>
  <si>
    <t>Результат</t>
  </si>
  <si>
    <t>Смирнов Д.Д.</t>
  </si>
  <si>
    <t>Орлов С.С.</t>
  </si>
  <si>
    <t>Васильев А.Н.</t>
  </si>
  <si>
    <t>Федоров Р.К.</t>
  </si>
  <si>
    <t>Морозов Е.П.</t>
  </si>
  <si>
    <t>ИТОГО:</t>
  </si>
  <si>
    <t>Задание 2. Ведомость расчёта сдельной заработной платы</t>
  </si>
  <si>
    <t>Кредит</t>
  </si>
  <si>
    <t>Годовой %</t>
  </si>
  <si>
    <t>Месяцев</t>
  </si>
  <si>
    <t>Стоимость обработки одной детали</t>
  </si>
  <si>
    <t>Стоимость испорченной детали</t>
  </si>
  <si>
    <t>Испорченных деталей</t>
  </si>
  <si>
    <t>Стоимость испорченных деталей</t>
  </si>
  <si>
    <t>Мужчины</t>
  </si>
  <si>
    <t>Женщины</t>
  </si>
  <si>
    <t>Пол</t>
  </si>
  <si>
    <t>Кол-во обработанных деталей</t>
  </si>
  <si>
    <t>Брак</t>
  </si>
  <si>
    <t>Начислено</t>
  </si>
  <si>
    <t>Ур. коэф.</t>
  </si>
  <si>
    <t>Сумма платежа</t>
  </si>
  <si>
    <t>Удержано</t>
  </si>
  <si>
    <t>Обработано деталей</t>
  </si>
  <si>
    <t>Иванов С.С.</t>
  </si>
  <si>
    <t>М</t>
  </si>
  <si>
    <t>Да</t>
  </si>
  <si>
    <t>Начислено за месяц</t>
  </si>
  <si>
    <t>Нет</t>
  </si>
  <si>
    <t>Сидорова Е.В.</t>
  </si>
  <si>
    <t>Ж</t>
  </si>
  <si>
    <t>Кузнецов И.И.</t>
  </si>
  <si>
    <t>Смирнов А.В.</t>
  </si>
  <si>
    <t>Орлова М.П.</t>
  </si>
  <si>
    <t>Васильев Д.А.</t>
  </si>
  <si>
    <t>Федорова Н.С.</t>
  </si>
  <si>
    <t>Морозов Р.П.</t>
  </si>
  <si>
    <t>Алексеев К.В.</t>
  </si>
  <si>
    <t>Практическая работа №7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</si>
</sst>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Суммы, начисленные каждому сотруднику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'Задание 1'!$I$10</c:f>
              <c:strCache>
                <c:ptCount val="1"/>
                <c:pt idx="0">
                  <c:v>Всего начислено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1'!$B$11:$B$20</c:f>
              <c:strCache>
                <c:ptCount val="10"/>
                <c:pt idx="0">
                  <c:v>Иванов П.П.</c:v>
                </c:pt>
                <c:pt idx="1">
                  <c:v>Петров А.А.</c:v>
                </c:pt>
                <c:pt idx="2">
                  <c:v>Сидоров И.И.</c:v>
                </c:pt>
                <c:pt idx="3">
                  <c:v>Кузнецов В.В.</c:v>
                </c:pt>
                <c:pt idx="4">
                  <c:v>Смирнов Д.Д.</c:v>
                </c:pt>
                <c:pt idx="5">
                  <c:v>Орлов С.С.</c:v>
                </c:pt>
                <c:pt idx="6">
                  <c:v>Васильев А.Н.</c:v>
                </c:pt>
                <c:pt idx="7">
                  <c:v>Федоров Р.К.</c:v>
                </c:pt>
                <c:pt idx="8">
                  <c:v>Морозов Е.П.</c:v>
                </c:pt>
                <c:pt idx="9">
                  <c:v>Иванов П.П.</c:v>
                </c:pt>
              </c:strCache>
            </c:strRef>
          </c:cat>
          <c:val>
            <c:numRef>
              <c:f>'Задание 1'!$I$11:$I$20</c:f>
              <c:numCache>
                <c:formatCode>#,##0.00</c:formatCode>
                <c:ptCount val="10"/>
                <c:pt idx="0">
                  <c:v>703.40625</c:v>
                </c:pt>
                <c:pt idx="1">
                  <c:v>1557.5625</c:v>
                </c:pt>
                <c:pt idx="2">
                  <c:v>1868.1075000000001</c:v>
                </c:pt>
                <c:pt idx="3">
                  <c:v>2401.92</c:v>
                </c:pt>
                <c:pt idx="4">
                  <c:v>3508.65</c:v>
                </c:pt>
                <c:pt idx="5">
                  <c:v>1270.546875</c:v>
                </c:pt>
                <c:pt idx="6">
                  <c:v>2045.2556250000002</c:v>
                </c:pt>
                <c:pt idx="7">
                  <c:v>2489.4900000000002</c:v>
                </c:pt>
                <c:pt idx="8">
                  <c:v>743.76562499999989</c:v>
                </c:pt>
                <c:pt idx="9">
                  <c:v>703.40625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2-934A-90A9-FDC98E3D1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Рубли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Начисленная сумма и сумма к выдаче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'Задание 2'!$I$9</c:f>
              <c:strCache>
                <c:ptCount val="1"/>
                <c:pt idx="0">
                  <c:v>Всего начислено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2'!$B$10:$B$19</c:f>
              <c:strCache>
                <c:ptCount val="10"/>
                <c:pt idx="0">
                  <c:v>Иванов С.С.</c:v>
                </c:pt>
                <c:pt idx="1">
                  <c:v>Петров А.А.</c:v>
                </c:pt>
                <c:pt idx="2">
                  <c:v>Сидорова Е.В.</c:v>
                </c:pt>
                <c:pt idx="3">
                  <c:v>Кузнецов И.И.</c:v>
                </c:pt>
                <c:pt idx="4">
                  <c:v>Смирнов А.В.</c:v>
                </c:pt>
                <c:pt idx="5">
                  <c:v>Орлова М.П.</c:v>
                </c:pt>
                <c:pt idx="6">
                  <c:v>Васильев Д.А.</c:v>
                </c:pt>
                <c:pt idx="7">
                  <c:v>Федорова Н.С.</c:v>
                </c:pt>
                <c:pt idx="8">
                  <c:v>Морозов Р.П.</c:v>
                </c:pt>
                <c:pt idx="9">
                  <c:v>Алексеев К.В.</c:v>
                </c:pt>
              </c:strCache>
            </c:strRef>
          </c:cat>
          <c:val>
            <c:numRef>
              <c:f>'Задание 2'!$I$10:$I$19</c:f>
              <c:numCache>
                <c:formatCode>#,##0.00</c:formatCode>
                <c:ptCount val="10"/>
                <c:pt idx="0">
                  <c:v>6095</c:v>
                </c:pt>
                <c:pt idx="1">
                  <c:v>8952.75</c:v>
                </c:pt>
                <c:pt idx="2">
                  <c:v>6748.2</c:v>
                </c:pt>
                <c:pt idx="3">
                  <c:v>11676.352500000003</c:v>
                </c:pt>
                <c:pt idx="4">
                  <c:v>10925</c:v>
                </c:pt>
                <c:pt idx="5">
                  <c:v>7331.25</c:v>
                </c:pt>
                <c:pt idx="6">
                  <c:v>13749.975</c:v>
                </c:pt>
                <c:pt idx="7">
                  <c:v>11776.48875</c:v>
                </c:pt>
                <c:pt idx="8">
                  <c:v>10988.25</c:v>
                </c:pt>
                <c:pt idx="9">
                  <c:v>6095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6-DB40-A4E0-BEE7EC6312D9}"/>
            </c:ext>
          </c:extLst>
        </c:ser>
        <c:ser>
          <c:idx val="1"/>
          <c:order val="1"/>
          <c:tx>
            <c:strRef>
              <c:f>'Задание 2'!$N$9</c:f>
              <c:strCache>
                <c:ptCount val="1"/>
                <c:pt idx="0">
                  <c:v>К выдаче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'Задание 2'!$B$10:$B$19</c:f>
              <c:strCache>
                <c:ptCount val="10"/>
                <c:pt idx="0">
                  <c:v>Иванов С.С.</c:v>
                </c:pt>
                <c:pt idx="1">
                  <c:v>Петров А.А.</c:v>
                </c:pt>
                <c:pt idx="2">
                  <c:v>Сидорова Е.В.</c:v>
                </c:pt>
                <c:pt idx="3">
                  <c:v>Кузнецов И.И.</c:v>
                </c:pt>
                <c:pt idx="4">
                  <c:v>Смирнов А.В.</c:v>
                </c:pt>
                <c:pt idx="5">
                  <c:v>Орлова М.П.</c:v>
                </c:pt>
                <c:pt idx="6">
                  <c:v>Васильев Д.А.</c:v>
                </c:pt>
                <c:pt idx="7">
                  <c:v>Федорова Н.С.</c:v>
                </c:pt>
                <c:pt idx="8">
                  <c:v>Морозов Р.П.</c:v>
                </c:pt>
                <c:pt idx="9">
                  <c:v>Алексеев К.В.</c:v>
                </c:pt>
              </c:strCache>
            </c:strRef>
          </c:cat>
          <c:val>
            <c:numRef>
              <c:f>'Задание 2'!$N$10:$N$19</c:f>
              <c:numCache>
                <c:formatCode>#,##0.00</c:formatCode>
                <c:ptCount val="10"/>
                <c:pt idx="0">
                  <c:v>4823.4833333333336</c:v>
                </c:pt>
                <c:pt idx="1">
                  <c:v>7788.8924999999999</c:v>
                </c:pt>
                <c:pt idx="2">
                  <c:v>5391.7673333333332</c:v>
                </c:pt>
                <c:pt idx="3">
                  <c:v>10158.426675000002</c:v>
                </c:pt>
                <c:pt idx="4">
                  <c:v>9025.5833333333339</c:v>
                </c:pt>
                <c:pt idx="5">
                  <c:v>6378.1875</c:v>
                </c:pt>
                <c:pt idx="6">
                  <c:v>11483.311583333334</c:v>
                </c:pt>
                <c:pt idx="7">
                  <c:v>9766.3785458333332</c:v>
                </c:pt>
                <c:pt idx="8">
                  <c:v>9559.7775000000001</c:v>
                </c:pt>
                <c:pt idx="9">
                  <c:v>4823.4833333333336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6-DB40-A4E0-BEE7EC631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Рубли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16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12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"/>
  <sheetViews>
    <sheetView showGridLines="0" zoomScale="189" workbookViewId="0">
      <pane ySplit="3" topLeftCell="A4" activePane="bottomLeft" state="frozen"/>
      <selection pane="bottomLeft" activeCell="B8" sqref="B8"/>
    </sheetView>
  </sheetViews>
  <sheetFormatPr defaultColWidth="8.85546875" defaultRowHeight="15" x14ac:dyDescent="0.25"/>
  <cols>
    <col min="1" max="2" width="28" style="3" customWidth="1"/>
    <col min="3" max="4" width="10" style="3" customWidth="1"/>
    <col min="5" max="16384" width="8.85546875" style="3"/>
  </cols>
  <sheetData>
    <row r="1" spans="1:4" ht="18.75" x14ac:dyDescent="0.25">
      <c r="A1" s="12" t="s">
        <v>76</v>
      </c>
      <c r="B1" s="13"/>
      <c r="C1" s="11"/>
      <c r="D1" s="11"/>
    </row>
    <row r="3" spans="1:4" x14ac:dyDescent="0.25">
      <c r="A3" s="4" t="s">
        <v>0</v>
      </c>
      <c r="B3" s="4" t="s">
        <v>1</v>
      </c>
    </row>
    <row r="4" spans="1:4" ht="30" x14ac:dyDescent="0.25">
      <c r="A4" s="6" t="s">
        <v>2</v>
      </c>
      <c r="B4" s="6" t="s">
        <v>3</v>
      </c>
    </row>
    <row r="5" spans="1:4" ht="30" x14ac:dyDescent="0.25">
      <c r="A5" s="6" t="s">
        <v>4</v>
      </c>
      <c r="B5" s="6" t="s">
        <v>5</v>
      </c>
    </row>
    <row r="6" spans="1:4" x14ac:dyDescent="0.25">
      <c r="A6" s="6"/>
      <c r="B6" s="6"/>
    </row>
    <row r="7" spans="1:4" x14ac:dyDescent="0.25">
      <c r="A7" s="6"/>
      <c r="B7" s="6"/>
    </row>
  </sheetData>
  <mergeCells count="1">
    <mergeCell ref="A1:B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1"/>
  <sheetViews>
    <sheetView showGridLines="0" zoomScale="55" zoomScaleNormal="55" workbookViewId="0">
      <pane ySplit="3" topLeftCell="A4" activePane="bottomLeft" state="frozen"/>
      <selection pane="bottomLeft" activeCell="D10" sqref="D10"/>
    </sheetView>
  </sheetViews>
  <sheetFormatPr defaultColWidth="8.85546875" defaultRowHeight="15" x14ac:dyDescent="0.25"/>
  <cols>
    <col min="1" max="1" width="28" style="3" customWidth="1"/>
    <col min="2" max="2" width="15" style="3" customWidth="1"/>
    <col min="3" max="3" width="16" style="3" customWidth="1"/>
    <col min="4" max="4" width="25" style="3" customWidth="1"/>
    <col min="5" max="5" width="13" style="3" customWidth="1"/>
    <col min="6" max="7" width="28" style="3" customWidth="1"/>
    <col min="8" max="8" width="23" style="3" customWidth="1"/>
    <col min="9" max="9" width="17" style="3" customWidth="1"/>
    <col min="10" max="10" width="16" style="3" customWidth="1"/>
    <col min="11" max="11" width="15" style="3" customWidth="1"/>
    <col min="12" max="12" width="28" style="3" customWidth="1"/>
    <col min="13" max="13" width="16" style="3" customWidth="1"/>
    <col min="14" max="14" width="15" style="3" customWidth="1"/>
    <col min="15" max="15" width="10" style="3" customWidth="1"/>
    <col min="16" max="21" width="28" style="3" customWidth="1"/>
    <col min="22" max="22" width="10" style="3" customWidth="1"/>
    <col min="23" max="16384" width="8.85546875" style="3"/>
  </cols>
  <sheetData>
    <row r="1" spans="1:22" x14ac:dyDescent="0.25">
      <c r="A1" s="1" t="s">
        <v>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3" t="s">
        <v>7</v>
      </c>
      <c r="B2" s="3">
        <v>450</v>
      </c>
      <c r="D2" s="3" t="s">
        <v>8</v>
      </c>
      <c r="E2" s="3">
        <v>0.15</v>
      </c>
      <c r="G2" s="3" t="s">
        <v>9</v>
      </c>
      <c r="H2" s="3">
        <v>0.13</v>
      </c>
      <c r="J2" s="3" t="s">
        <v>10</v>
      </c>
      <c r="K2" s="3">
        <v>23</v>
      </c>
    </row>
    <row r="3" spans="1:22" ht="28.5" x14ac:dyDescent="0.25">
      <c r="A3" s="4" t="s">
        <v>11</v>
      </c>
      <c r="B3" s="4" t="s">
        <v>12</v>
      </c>
      <c r="C3" s="4" t="s">
        <v>13</v>
      </c>
      <c r="P3" s="5" t="s">
        <v>14</v>
      </c>
    </row>
    <row r="4" spans="1:22" x14ac:dyDescent="0.25">
      <c r="A4" s="6">
        <v>1</v>
      </c>
      <c r="B4" s="6">
        <v>2.0499999999999998</v>
      </c>
      <c r="C4" s="7">
        <v>0.1</v>
      </c>
      <c r="P4" s="4" t="s">
        <v>11</v>
      </c>
      <c r="Q4" s="4">
        <v>1</v>
      </c>
      <c r="R4" s="4">
        <v>2</v>
      </c>
      <c r="S4" s="4">
        <v>3</v>
      </c>
      <c r="T4" s="4">
        <v>4</v>
      </c>
      <c r="U4" s="4">
        <v>5</v>
      </c>
    </row>
    <row r="5" spans="1:22" ht="30" x14ac:dyDescent="0.25">
      <c r="A5" s="6">
        <v>2</v>
      </c>
      <c r="B5" s="6">
        <v>3.25</v>
      </c>
      <c r="C5" s="7">
        <v>0.2</v>
      </c>
      <c r="P5" s="6" t="s">
        <v>15</v>
      </c>
      <c r="Q5" s="6">
        <f>COUNTIFS($C$11:$C$20,Q$4,$E$11:$E$20,"&gt;0")</f>
        <v>3</v>
      </c>
      <c r="R5" s="6">
        <f>COUNTIFS($C$11:$C$20,R$4,$E$11:$E$20,"&gt;0")</f>
        <v>2</v>
      </c>
      <c r="S5" s="6">
        <f>COUNTIFS($C$11:$C$20,S$4,$E$11:$E$20,"&gt;0")</f>
        <v>2</v>
      </c>
      <c r="T5" s="6">
        <f>COUNTIFS($C$11:$C$20,T$4,$E$11:$E$20,"&gt;0")</f>
        <v>2</v>
      </c>
      <c r="U5" s="6">
        <f>COUNTIFS($C$11:$C$20,U$4,$E$11:$E$20,"&gt;0")</f>
        <v>0</v>
      </c>
    </row>
    <row r="6" spans="1:22" x14ac:dyDescent="0.25">
      <c r="A6" s="6">
        <v>3</v>
      </c>
      <c r="B6" s="6">
        <v>4.09</v>
      </c>
      <c r="C6" s="7">
        <v>0.3</v>
      </c>
      <c r="P6" s="6" t="s">
        <v>16</v>
      </c>
      <c r="Q6" s="8">
        <f>SUMIF($C$11:$C$20,Q$4,$I$11:$I$20)</f>
        <v>2150.578125</v>
      </c>
      <c r="R6" s="8">
        <f>SUMIF($C$11:$C$20,R$4,$I$11:$I$20)</f>
        <v>2828.109375</v>
      </c>
      <c r="S6" s="8">
        <f>SUMIF($C$11:$C$20,S$4,$I$11:$I$20)</f>
        <v>3913.3631250000003</v>
      </c>
      <c r="T6" s="8">
        <f>SUMIF($C$11:$C$20,T$4,$I$11:$I$20)</f>
        <v>4891.41</v>
      </c>
      <c r="U6" s="8">
        <f>SUMIF($C$11:$C$20,U$4,$I$11:$I$20)</f>
        <v>3508.65</v>
      </c>
    </row>
    <row r="7" spans="1:22" ht="30" x14ac:dyDescent="0.25">
      <c r="A7" s="6">
        <v>4</v>
      </c>
      <c r="B7" s="6">
        <v>5.56</v>
      </c>
      <c r="C7" s="7">
        <v>0.4</v>
      </c>
      <c r="P7" s="6" t="s">
        <v>17</v>
      </c>
      <c r="Q7" s="6">
        <f>COUNTIFS($C$11:$C$20,Q$4,$L$11:$L$20,"&gt;0")</f>
        <v>1</v>
      </c>
      <c r="R7" s="6">
        <f>COUNTIFS($C$11:$C$20,R$4,$L$11:$L$20,"&gt;0")</f>
        <v>1</v>
      </c>
      <c r="S7" s="6">
        <f>COUNTIFS($C$11:$C$20,S$4,$L$11:$L$20,"&gt;0")</f>
        <v>1</v>
      </c>
      <c r="T7" s="6">
        <f>COUNTIFS($C$11:$C$20,T$4,$L$11:$L$20,"&gt;0")</f>
        <v>1</v>
      </c>
      <c r="U7" s="6">
        <f>COUNTIFS($C$11:$C$20,U$4,$L$11:$L$20,"&gt;0")</f>
        <v>1</v>
      </c>
    </row>
    <row r="8" spans="1:22" x14ac:dyDescent="0.25">
      <c r="A8" s="6">
        <v>5</v>
      </c>
      <c r="B8" s="6">
        <v>6.78</v>
      </c>
      <c r="C8" s="7">
        <v>0.5</v>
      </c>
      <c r="P8" s="6" t="s">
        <v>18</v>
      </c>
      <c r="Q8" s="8">
        <f>SUMIF($C$11:$C$20,Q$4,$J$11:$J$20)</f>
        <v>279.57515624999996</v>
      </c>
      <c r="R8" s="8">
        <f>SUMIF($C$11:$C$20,R$4,$J$11:$J$20)</f>
        <v>367.65421875000004</v>
      </c>
      <c r="S8" s="8">
        <f>SUMIF($C$11:$C$20,S$4,$J$11:$J$20)</f>
        <v>508.7372062500001</v>
      </c>
      <c r="T8" s="8">
        <f>SUMIF($C$11:$C$20,T$4,$J$11:$J$20)</f>
        <v>635.88330000000008</v>
      </c>
      <c r="U8" s="8">
        <f>SUMIF($C$11:$C$20,U$4,$J$11:$J$20)</f>
        <v>456.12450000000001</v>
      </c>
    </row>
    <row r="9" spans="1:22" x14ac:dyDescent="0.25">
      <c r="P9" s="6" t="s">
        <v>19</v>
      </c>
      <c r="Q9" s="8">
        <f>SUMIF($C$11:$C$20,Q$4,$N$11:$N$20)</f>
        <v>1625.5603125</v>
      </c>
      <c r="R9" s="8">
        <f>SUMIF($C$11:$C$20,R$4,$N$11:$N$20)</f>
        <v>2071.0645312500001</v>
      </c>
      <c r="S9" s="8">
        <f>SUMIF($C$11:$C$20,S$4,$N$11:$N$20)</f>
        <v>2893.3120125000005</v>
      </c>
      <c r="T9" s="8">
        <f>SUMIF($C$11:$C$20,T$4,$N$11:$N$20)</f>
        <v>3462.8931000000002</v>
      </c>
      <c r="U9" s="8">
        <f>SUMIF($C$11:$C$20,U$4,$N$11:$N$20)</f>
        <v>1298.2004999999999</v>
      </c>
    </row>
    <row r="10" spans="1:22" ht="28.5" x14ac:dyDescent="0.25">
      <c r="A10" s="4" t="s">
        <v>20</v>
      </c>
      <c r="B10" s="4" t="s">
        <v>21</v>
      </c>
      <c r="C10" s="4" t="s">
        <v>11</v>
      </c>
      <c r="D10" s="4" t="s">
        <v>22</v>
      </c>
      <c r="E10" s="4" t="s">
        <v>23</v>
      </c>
      <c r="F10" s="4" t="s">
        <v>24</v>
      </c>
      <c r="G10" s="4" t="s">
        <v>25</v>
      </c>
      <c r="H10" s="4" t="s">
        <v>8</v>
      </c>
      <c r="I10" s="4" t="s">
        <v>26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31</v>
      </c>
    </row>
    <row r="11" spans="1:22" x14ac:dyDescent="0.25">
      <c r="A11" s="6">
        <v>1</v>
      </c>
      <c r="B11" s="6" t="s">
        <v>32</v>
      </c>
      <c r="C11" s="6">
        <v>1</v>
      </c>
      <c r="D11" s="6">
        <v>15</v>
      </c>
      <c r="E11" s="6">
        <v>20</v>
      </c>
      <c r="F11" s="8">
        <f t="shared" ref="F11:F20" si="0">VLOOKUP(C11,$A$4:$C$8,2,FALSE)*$B$2*D11/$K$2</f>
        <v>601.63043478260863</v>
      </c>
      <c r="G11" s="8">
        <f t="shared" ref="G11:G20" si="1">VLOOKUP(C11,$A$4:$C$8,2,FALSE)*$B$2/$K$2/8*E11*VLOOKUP(C11,$A$4:$C$8,3,FALSE)</f>
        <v>10.027173913043477</v>
      </c>
      <c r="H11" s="8">
        <f t="shared" ref="H11:H20" si="2">(F11+G11)*$E$2</f>
        <v>91.748641304347814</v>
      </c>
      <c r="I11" s="8">
        <f t="shared" ref="I11:I20" si="3">SUM(F11:H11)</f>
        <v>703.40625</v>
      </c>
      <c r="J11" s="8">
        <f t="shared" ref="J11:J20" si="4">I11*$H$2</f>
        <v>91.442812500000002</v>
      </c>
      <c r="K11" s="6">
        <v>0</v>
      </c>
      <c r="L11" s="8">
        <f t="shared" ref="L11:L20" si="5">I11*IF(K11=0,0,IF(K11=1,25%,IF(K11=2,33%,50%)))</f>
        <v>0</v>
      </c>
      <c r="M11" s="8">
        <f t="shared" ref="M11:M20" si="6">J11+L11</f>
        <v>91.442812500000002</v>
      </c>
      <c r="N11" s="8">
        <f t="shared" ref="N11:N20" si="7">I11-M11</f>
        <v>611.96343750000005</v>
      </c>
      <c r="P11" s="5" t="s">
        <v>33</v>
      </c>
    </row>
    <row r="12" spans="1:22" x14ac:dyDescent="0.25">
      <c r="A12" s="6">
        <v>2</v>
      </c>
      <c r="B12" s="6" t="s">
        <v>34</v>
      </c>
      <c r="C12" s="6">
        <v>2</v>
      </c>
      <c r="D12" s="6">
        <v>21</v>
      </c>
      <c r="E12" s="6">
        <v>12</v>
      </c>
      <c r="F12" s="8">
        <f t="shared" si="0"/>
        <v>1335.3260869565217</v>
      </c>
      <c r="G12" s="8">
        <f t="shared" si="1"/>
        <v>19.076086956521742</v>
      </c>
      <c r="H12" s="8">
        <f t="shared" si="2"/>
        <v>203.16032608695653</v>
      </c>
      <c r="I12" s="8">
        <f t="shared" si="3"/>
        <v>1557.5625</v>
      </c>
      <c r="J12" s="8">
        <f t="shared" si="4"/>
        <v>202.483125</v>
      </c>
      <c r="K12" s="6">
        <v>1</v>
      </c>
      <c r="L12" s="8">
        <f t="shared" si="5"/>
        <v>389.390625</v>
      </c>
      <c r="M12" s="8">
        <f t="shared" si="6"/>
        <v>591.87374999999997</v>
      </c>
      <c r="N12" s="8">
        <f t="shared" si="7"/>
        <v>965.68875000000003</v>
      </c>
      <c r="P12" s="6" t="s">
        <v>31</v>
      </c>
      <c r="Q12" s="6">
        <f>N11</f>
        <v>611.96343750000005</v>
      </c>
      <c r="R12" s="6">
        <f>N20</f>
        <v>611.96343750000005</v>
      </c>
    </row>
    <row r="13" spans="1:22" x14ac:dyDescent="0.25">
      <c r="A13" s="6">
        <v>3</v>
      </c>
      <c r="B13" s="6" t="s">
        <v>35</v>
      </c>
      <c r="C13" s="6">
        <v>3</v>
      </c>
      <c r="D13" s="6">
        <v>20</v>
      </c>
      <c r="E13" s="6">
        <v>8</v>
      </c>
      <c r="F13" s="8">
        <f t="shared" si="0"/>
        <v>1600.4347826086957</v>
      </c>
      <c r="G13" s="8">
        <f t="shared" si="1"/>
        <v>24.006521739130434</v>
      </c>
      <c r="H13" s="8">
        <f t="shared" si="2"/>
        <v>243.66619565217391</v>
      </c>
      <c r="I13" s="8">
        <f t="shared" si="3"/>
        <v>1868.1075000000001</v>
      </c>
      <c r="J13" s="8">
        <f t="shared" si="4"/>
        <v>242.85397500000002</v>
      </c>
      <c r="K13" s="6">
        <v>0</v>
      </c>
      <c r="L13" s="8">
        <f t="shared" si="5"/>
        <v>0</v>
      </c>
      <c r="M13" s="8">
        <f t="shared" si="6"/>
        <v>242.85397500000002</v>
      </c>
      <c r="N13" s="8">
        <f t="shared" si="7"/>
        <v>1625.2535250000001</v>
      </c>
      <c r="P13" s="6" t="s">
        <v>26</v>
      </c>
      <c r="Q13" s="6">
        <f>I11</f>
        <v>703.40625</v>
      </c>
      <c r="R13" s="6">
        <f>I20</f>
        <v>703.40625</v>
      </c>
    </row>
    <row r="14" spans="1:22" x14ac:dyDescent="0.25">
      <c r="A14" s="6">
        <v>4</v>
      </c>
      <c r="B14" s="6" t="s">
        <v>36</v>
      </c>
      <c r="C14" s="6">
        <v>4</v>
      </c>
      <c r="D14" s="6">
        <v>18</v>
      </c>
      <c r="E14" s="6">
        <v>24</v>
      </c>
      <c r="F14" s="8">
        <f t="shared" si="0"/>
        <v>1958.0869565217392</v>
      </c>
      <c r="G14" s="8">
        <f t="shared" si="1"/>
        <v>130.53913043478261</v>
      </c>
      <c r="H14" s="8">
        <f t="shared" si="2"/>
        <v>313.29391304347826</v>
      </c>
      <c r="I14" s="8">
        <f t="shared" si="3"/>
        <v>2401.92</v>
      </c>
      <c r="J14" s="8">
        <f t="shared" si="4"/>
        <v>312.24960000000004</v>
      </c>
      <c r="K14" s="6">
        <v>2</v>
      </c>
      <c r="L14" s="8">
        <f t="shared" si="5"/>
        <v>792.63360000000011</v>
      </c>
      <c r="M14" s="8">
        <f t="shared" si="6"/>
        <v>1104.8832000000002</v>
      </c>
      <c r="N14" s="8">
        <f t="shared" si="7"/>
        <v>1297.0367999999999</v>
      </c>
      <c r="P14" s="6" t="s">
        <v>37</v>
      </c>
      <c r="Q14" s="6" t="str">
        <f>IF(AND(Q12=R12,Q13=R13),"СОВПАДАЕТ","ОШИБКА")</f>
        <v>СОВПАДАЕТ</v>
      </c>
      <c r="R14" s="6"/>
    </row>
    <row r="15" spans="1:22" x14ac:dyDescent="0.25">
      <c r="A15" s="6">
        <v>5</v>
      </c>
      <c r="B15" s="6" t="s">
        <v>38</v>
      </c>
      <c r="C15" s="6">
        <v>5</v>
      </c>
      <c r="D15" s="6">
        <v>23</v>
      </c>
      <c r="E15" s="6">
        <v>0</v>
      </c>
      <c r="F15" s="8">
        <f t="shared" si="0"/>
        <v>3051</v>
      </c>
      <c r="G15" s="8">
        <f t="shared" si="1"/>
        <v>0</v>
      </c>
      <c r="H15" s="8">
        <f t="shared" si="2"/>
        <v>457.65</v>
      </c>
      <c r="I15" s="8">
        <f t="shared" si="3"/>
        <v>3508.65</v>
      </c>
      <c r="J15" s="8">
        <f t="shared" si="4"/>
        <v>456.12450000000001</v>
      </c>
      <c r="K15" s="6">
        <v>3</v>
      </c>
      <c r="L15" s="8">
        <f t="shared" si="5"/>
        <v>1754.325</v>
      </c>
      <c r="M15" s="8">
        <f t="shared" si="6"/>
        <v>2210.4495000000002</v>
      </c>
      <c r="N15" s="8">
        <f t="shared" si="7"/>
        <v>1298.2004999999999</v>
      </c>
    </row>
    <row r="16" spans="1:22" x14ac:dyDescent="0.25">
      <c r="A16" s="6">
        <v>6</v>
      </c>
      <c r="B16" s="6" t="s">
        <v>39</v>
      </c>
      <c r="C16" s="6">
        <v>2</v>
      </c>
      <c r="D16" s="6">
        <v>17</v>
      </c>
      <c r="E16" s="6">
        <v>15</v>
      </c>
      <c r="F16" s="8">
        <f t="shared" si="0"/>
        <v>1080.9782608695652</v>
      </c>
      <c r="G16" s="8">
        <f t="shared" si="1"/>
        <v>23.845108695652176</v>
      </c>
      <c r="H16" s="8">
        <f t="shared" si="2"/>
        <v>165.72350543478262</v>
      </c>
      <c r="I16" s="8">
        <f t="shared" si="3"/>
        <v>1270.546875</v>
      </c>
      <c r="J16" s="8">
        <f t="shared" si="4"/>
        <v>165.17109375000001</v>
      </c>
      <c r="K16" s="6">
        <v>0</v>
      </c>
      <c r="L16" s="8">
        <f t="shared" si="5"/>
        <v>0</v>
      </c>
      <c r="M16" s="8">
        <f t="shared" si="6"/>
        <v>165.17109375000001</v>
      </c>
      <c r="N16" s="8">
        <f t="shared" si="7"/>
        <v>1105.37578125</v>
      </c>
    </row>
    <row r="17" spans="1:14" x14ac:dyDescent="0.25">
      <c r="A17" s="6">
        <v>7</v>
      </c>
      <c r="B17" s="6" t="s">
        <v>40</v>
      </c>
      <c r="C17" s="6">
        <v>3</v>
      </c>
      <c r="D17" s="6">
        <v>22</v>
      </c>
      <c r="E17" s="6">
        <v>6</v>
      </c>
      <c r="F17" s="8">
        <f t="shared" si="0"/>
        <v>1760.4782608695652</v>
      </c>
      <c r="G17" s="8">
        <f t="shared" si="1"/>
        <v>18.004891304347826</v>
      </c>
      <c r="H17" s="8">
        <f t="shared" si="2"/>
        <v>266.77247282608698</v>
      </c>
      <c r="I17" s="8">
        <f t="shared" si="3"/>
        <v>2045.2556250000002</v>
      </c>
      <c r="J17" s="8">
        <f t="shared" si="4"/>
        <v>265.88323125000005</v>
      </c>
      <c r="K17" s="6">
        <v>1</v>
      </c>
      <c r="L17" s="8">
        <f t="shared" si="5"/>
        <v>511.31390625000006</v>
      </c>
      <c r="M17" s="8">
        <f t="shared" si="6"/>
        <v>777.19713750000005</v>
      </c>
      <c r="N17" s="8">
        <f t="shared" si="7"/>
        <v>1268.0584875000002</v>
      </c>
    </row>
    <row r="18" spans="1:14" x14ac:dyDescent="0.25">
      <c r="A18" s="6">
        <v>8</v>
      </c>
      <c r="B18" s="6" t="s">
        <v>41</v>
      </c>
      <c r="C18" s="6">
        <v>4</v>
      </c>
      <c r="D18" s="6">
        <v>19</v>
      </c>
      <c r="E18" s="6">
        <v>18</v>
      </c>
      <c r="F18" s="8">
        <f t="shared" si="0"/>
        <v>2066.8695652173915</v>
      </c>
      <c r="G18" s="8">
        <f t="shared" si="1"/>
        <v>97.904347826086962</v>
      </c>
      <c r="H18" s="8">
        <f t="shared" si="2"/>
        <v>324.71608695652174</v>
      </c>
      <c r="I18" s="8">
        <f t="shared" si="3"/>
        <v>2489.4900000000002</v>
      </c>
      <c r="J18" s="8">
        <f t="shared" si="4"/>
        <v>323.63370000000003</v>
      </c>
      <c r="K18" s="6">
        <v>0</v>
      </c>
      <c r="L18" s="8">
        <f t="shared" si="5"/>
        <v>0</v>
      </c>
      <c r="M18" s="8">
        <f t="shared" si="6"/>
        <v>323.63370000000003</v>
      </c>
      <c r="N18" s="8">
        <f t="shared" si="7"/>
        <v>2165.8563000000004</v>
      </c>
    </row>
    <row r="19" spans="1:14" x14ac:dyDescent="0.25">
      <c r="A19" s="6">
        <v>9</v>
      </c>
      <c r="B19" s="6" t="s">
        <v>42</v>
      </c>
      <c r="C19" s="6">
        <v>1</v>
      </c>
      <c r="D19" s="6">
        <v>16</v>
      </c>
      <c r="E19" s="6">
        <v>10</v>
      </c>
      <c r="F19" s="8">
        <f t="shared" si="0"/>
        <v>641.73913043478251</v>
      </c>
      <c r="G19" s="8">
        <f t="shared" si="1"/>
        <v>5.0135869565217384</v>
      </c>
      <c r="H19" s="8">
        <f t="shared" si="2"/>
        <v>97.012907608695642</v>
      </c>
      <c r="I19" s="8">
        <f t="shared" si="3"/>
        <v>743.76562499999989</v>
      </c>
      <c r="J19" s="8">
        <f t="shared" si="4"/>
        <v>96.689531249999987</v>
      </c>
      <c r="K19" s="6">
        <v>2</v>
      </c>
      <c r="L19" s="8">
        <f t="shared" si="5"/>
        <v>245.44265624999997</v>
      </c>
      <c r="M19" s="8">
        <f t="shared" si="6"/>
        <v>342.13218749999999</v>
      </c>
      <c r="N19" s="8">
        <f t="shared" si="7"/>
        <v>401.6334374999999</v>
      </c>
    </row>
    <row r="20" spans="1:14" x14ac:dyDescent="0.25">
      <c r="A20" s="6">
        <v>10</v>
      </c>
      <c r="B20" s="6" t="s">
        <v>32</v>
      </c>
      <c r="C20" s="6">
        <v>1</v>
      </c>
      <c r="D20" s="6">
        <v>15</v>
      </c>
      <c r="E20" s="6">
        <v>20</v>
      </c>
      <c r="F20" s="8">
        <f t="shared" si="0"/>
        <v>601.63043478260863</v>
      </c>
      <c r="G20" s="8">
        <f t="shared" si="1"/>
        <v>10.027173913043477</v>
      </c>
      <c r="H20" s="8">
        <f t="shared" si="2"/>
        <v>91.748641304347814</v>
      </c>
      <c r="I20" s="8">
        <f t="shared" si="3"/>
        <v>703.40625</v>
      </c>
      <c r="J20" s="8">
        <f t="shared" si="4"/>
        <v>91.442812500000002</v>
      </c>
      <c r="K20" s="6">
        <v>0</v>
      </c>
      <c r="L20" s="8">
        <f t="shared" si="5"/>
        <v>0</v>
      </c>
      <c r="M20" s="8">
        <f t="shared" si="6"/>
        <v>91.442812500000002</v>
      </c>
      <c r="N20" s="8">
        <f t="shared" si="7"/>
        <v>611.96343750000005</v>
      </c>
    </row>
    <row r="21" spans="1:14" x14ac:dyDescent="0.25">
      <c r="A21" s="9" t="s">
        <v>43</v>
      </c>
      <c r="B21" s="9"/>
      <c r="C21" s="9"/>
      <c r="D21" s="9"/>
      <c r="E21" s="9"/>
      <c r="F21" s="10">
        <f t="shared" ref="F21:N21" si="8">SUM(F11:F20)</f>
        <v>14698.173913043478</v>
      </c>
      <c r="G21" s="10">
        <f t="shared" si="8"/>
        <v>338.44402173913051</v>
      </c>
      <c r="H21" s="10">
        <f t="shared" si="8"/>
        <v>2255.4926902173911</v>
      </c>
      <c r="I21" s="10">
        <f t="shared" si="8"/>
        <v>17292.110624999998</v>
      </c>
      <c r="J21" s="10">
        <f t="shared" si="8"/>
        <v>2247.9743812500001</v>
      </c>
      <c r="K21" s="9">
        <f t="shared" si="8"/>
        <v>9</v>
      </c>
      <c r="L21" s="10">
        <f t="shared" si="8"/>
        <v>3693.1057874999997</v>
      </c>
      <c r="M21" s="10">
        <f t="shared" si="8"/>
        <v>5941.0801687500016</v>
      </c>
      <c r="N21" s="10">
        <f t="shared" si="8"/>
        <v>11351.03045625</v>
      </c>
    </row>
  </sheetData>
  <mergeCells count="1">
    <mergeCell ref="A1:V1"/>
  </mergeCells>
  <pageMargins left="0.75" right="0.75" top="1" bottom="1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20"/>
  <sheetViews>
    <sheetView showGridLines="0" tabSelected="1" topLeftCell="J1" zoomScale="70" zoomScaleNormal="70" workbookViewId="0">
      <pane ySplit="3" topLeftCell="A4" activePane="bottomLeft" state="frozen"/>
      <selection pane="bottomLeft" activeCell="M27" sqref="M27"/>
    </sheetView>
  </sheetViews>
  <sheetFormatPr defaultColWidth="8.85546875" defaultRowHeight="15" x14ac:dyDescent="0.25"/>
  <cols>
    <col min="1" max="3" width="28" style="3" customWidth="1"/>
    <col min="4" max="4" width="23" style="3" customWidth="1"/>
    <col min="5" max="5" width="28" style="3" customWidth="1"/>
    <col min="6" max="6" width="15" style="3" customWidth="1"/>
    <col min="7" max="7" width="28" style="3" customWidth="1"/>
    <col min="8" max="8" width="15" style="3" customWidth="1"/>
    <col min="9" max="9" width="17" style="3" customWidth="1"/>
    <col min="10" max="10" width="16" style="3" customWidth="1"/>
    <col min="11" max="11" width="15" style="3" customWidth="1"/>
    <col min="12" max="12" width="28" style="3" customWidth="1"/>
    <col min="13" max="14" width="15" style="3" customWidth="1"/>
    <col min="15" max="15" width="10" style="3" customWidth="1"/>
    <col min="16" max="20" width="28" style="3" customWidth="1"/>
    <col min="21" max="22" width="10" style="3" customWidth="1"/>
    <col min="23" max="16384" width="8.85546875" style="3"/>
  </cols>
  <sheetData>
    <row r="1" spans="1:22" x14ac:dyDescent="0.25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3" t="s">
        <v>7</v>
      </c>
      <c r="B2" s="3">
        <v>450</v>
      </c>
      <c r="D2" s="3" t="s">
        <v>8</v>
      </c>
      <c r="E2" s="3">
        <v>0.15</v>
      </c>
      <c r="G2" s="3" t="s">
        <v>9</v>
      </c>
      <c r="H2" s="3">
        <v>0.13</v>
      </c>
      <c r="J2" s="3" t="s">
        <v>45</v>
      </c>
      <c r="K2" s="3">
        <v>5000</v>
      </c>
      <c r="M2" s="3" t="s">
        <v>46</v>
      </c>
      <c r="N2" s="3">
        <v>0.15</v>
      </c>
      <c r="P2" s="3" t="s">
        <v>47</v>
      </c>
      <c r="Q2" s="3">
        <v>12</v>
      </c>
    </row>
    <row r="3" spans="1:22" ht="28.5" x14ac:dyDescent="0.25">
      <c r="A3" s="4" t="s">
        <v>11</v>
      </c>
      <c r="B3" s="4" t="s">
        <v>48</v>
      </c>
      <c r="C3" s="4" t="s">
        <v>49</v>
      </c>
      <c r="P3" s="5" t="s">
        <v>14</v>
      </c>
    </row>
    <row r="4" spans="1:22" x14ac:dyDescent="0.25">
      <c r="A4" s="6">
        <v>1</v>
      </c>
      <c r="B4" s="8">
        <f>$B$2*0.2</f>
        <v>90</v>
      </c>
      <c r="C4" s="8">
        <v>200</v>
      </c>
      <c r="P4" s="4" t="s">
        <v>11</v>
      </c>
      <c r="Q4" s="4">
        <v>1</v>
      </c>
      <c r="R4" s="4">
        <v>2</v>
      </c>
      <c r="S4" s="4">
        <v>3</v>
      </c>
      <c r="T4" s="4">
        <v>4</v>
      </c>
    </row>
    <row r="5" spans="1:22" x14ac:dyDescent="0.25">
      <c r="A5" s="6">
        <v>2</v>
      </c>
      <c r="B5" s="8">
        <f>$B$2*0.22</f>
        <v>99</v>
      </c>
      <c r="C5" s="8">
        <f>C4*1.05</f>
        <v>210</v>
      </c>
      <c r="P5" s="6" t="s">
        <v>50</v>
      </c>
      <c r="Q5" s="6">
        <f>SUMIF($D$10:$D$19,Q$4,$F$10:$F$19)</f>
        <v>12</v>
      </c>
      <c r="R5" s="6">
        <f>SUMIF($D$10:$D$19,R$4,$F$10:$F$19)</f>
        <v>12</v>
      </c>
      <c r="S5" s="6">
        <f>SUMIF($D$10:$D$19,S$4,$F$10:$F$19)</f>
        <v>11</v>
      </c>
      <c r="T5" s="6">
        <f>SUMIF($D$10:$D$19,T$4,$F$10:$F$19)</f>
        <v>9</v>
      </c>
    </row>
    <row r="6" spans="1:22" ht="30" x14ac:dyDescent="0.25">
      <c r="A6" s="6">
        <v>3</v>
      </c>
      <c r="B6" s="8">
        <f>$B$2*0.25</f>
        <v>112.5</v>
      </c>
      <c r="C6" s="8">
        <f>C5*1.05</f>
        <v>220.5</v>
      </c>
      <c r="P6" s="6" t="s">
        <v>51</v>
      </c>
      <c r="Q6" s="8" t="e">
        <f>SUMPRODUCT(($D$10:$D$19=Q$4)*$F$10:$F$19*VLOOKUP($D$10:$D$19,$A$4:$C$7,3,FALSE))</f>
        <v>#VALUE!</v>
      </c>
      <c r="R6" s="8" t="e">
        <f>SUMPRODUCT(($D$10:$D$19=R$4)*$F$10:$F$19*VLOOKUP($D$10:$D$19,$A$4:$C$7,3,FALSE))</f>
        <v>#VALUE!</v>
      </c>
      <c r="S6" s="8" t="e">
        <f>SUMPRODUCT(($D$10:$D$19=S$4)*$F$10:$F$19*VLOOKUP($D$10:$D$19,$A$4:$C$7,3,FALSE))</f>
        <v>#VALUE!</v>
      </c>
      <c r="T6" s="8" t="e">
        <f>SUMPRODUCT(($D$10:$D$19=T$4)*$F$10:$F$19*VLOOKUP($D$10:$D$19,$A$4:$C$7,3,FALSE))</f>
        <v>#VALUE!</v>
      </c>
    </row>
    <row r="7" spans="1:22" x14ac:dyDescent="0.25">
      <c r="A7" s="6">
        <v>4</v>
      </c>
      <c r="B7" s="8">
        <f>$B$2*0.27</f>
        <v>121.50000000000001</v>
      </c>
      <c r="C7" s="8">
        <f>C6*1.05</f>
        <v>231.52500000000001</v>
      </c>
      <c r="P7" s="6" t="s">
        <v>52</v>
      </c>
      <c r="Q7" s="6">
        <f>COUNTIFS($D$10:$D$19,Q$4,$C$10:$C$19,"М")</f>
        <v>3</v>
      </c>
      <c r="R7" s="6">
        <f>COUNTIFS($D$10:$D$19,R$4,$C$10:$C$19,"М")</f>
        <v>2</v>
      </c>
      <c r="S7" s="6">
        <f>COUNTIFS($D$10:$D$19,S$4,$C$10:$C$19,"М")</f>
        <v>1</v>
      </c>
      <c r="T7" s="6">
        <f>COUNTIFS($D$10:$D$19,T$4,$C$10:$C$19,"М")</f>
        <v>1</v>
      </c>
    </row>
    <row r="8" spans="1:22" x14ac:dyDescent="0.25">
      <c r="P8" s="6" t="s">
        <v>53</v>
      </c>
      <c r="Q8" s="6">
        <f>COUNTIFS($D$10:$D$19,Q$4,$C$10:$C$19,"Ж")</f>
        <v>0</v>
      </c>
      <c r="R8" s="6">
        <f>COUNTIFS($D$10:$D$19,R$4,$C$10:$C$19,"Ж")</f>
        <v>1</v>
      </c>
      <c r="S8" s="6">
        <f>COUNTIFS($D$10:$D$19,S$4,$C$10:$C$19,"Ж")</f>
        <v>1</v>
      </c>
      <c r="T8" s="6">
        <f>COUNTIFS($D$10:$D$19,T$4,$C$10:$C$19,"Ж")</f>
        <v>1</v>
      </c>
    </row>
    <row r="9" spans="1:22" ht="28.5" x14ac:dyDescent="0.25">
      <c r="A9" s="4" t="s">
        <v>20</v>
      </c>
      <c r="B9" s="4" t="s">
        <v>21</v>
      </c>
      <c r="C9" s="4" t="s">
        <v>54</v>
      </c>
      <c r="D9" s="4" t="s">
        <v>11</v>
      </c>
      <c r="E9" s="4" t="s">
        <v>55</v>
      </c>
      <c r="F9" s="4" t="s">
        <v>56</v>
      </c>
      <c r="G9" s="4" t="s">
        <v>57</v>
      </c>
      <c r="H9" s="4" t="s">
        <v>58</v>
      </c>
      <c r="I9" s="4" t="s">
        <v>26</v>
      </c>
      <c r="J9" s="4" t="s">
        <v>27</v>
      </c>
      <c r="K9" s="4" t="s">
        <v>45</v>
      </c>
      <c r="L9" s="4" t="s">
        <v>59</v>
      </c>
      <c r="M9" s="4" t="s">
        <v>60</v>
      </c>
      <c r="N9" s="4" t="s">
        <v>31</v>
      </c>
      <c r="P9" s="6" t="s">
        <v>61</v>
      </c>
      <c r="Q9" s="6">
        <f>SUMIF($D$10:$D$19,Q$4,$E$10:$E$19)</f>
        <v>250</v>
      </c>
      <c r="R9" s="6">
        <f>SUMIF($D$10:$D$19,R$4,$E$10:$E$19)</f>
        <v>265</v>
      </c>
      <c r="S9" s="6">
        <f>SUMIF($D$10:$D$19,S$4,$E$10:$E$19)</f>
        <v>180</v>
      </c>
      <c r="T9" s="6">
        <f>SUMIF($D$10:$D$19,T$4,$E$10:$E$19)</f>
        <v>185</v>
      </c>
    </row>
    <row r="10" spans="1:22" x14ac:dyDescent="0.25">
      <c r="A10" s="6">
        <v>1</v>
      </c>
      <c r="B10" s="6" t="s">
        <v>62</v>
      </c>
      <c r="C10" s="6" t="s">
        <v>63</v>
      </c>
      <c r="D10" s="6">
        <v>1</v>
      </c>
      <c r="E10" s="6">
        <v>70</v>
      </c>
      <c r="F10" s="6">
        <v>5</v>
      </c>
      <c r="G10" s="8">
        <f t="shared" ref="G10:G19" si="0">E10*VLOOKUP(D10,$A$4:$C$7,2,FALSE)-F10*VLOOKUP(D10,$A$4:$C$7,3,FALSE)</f>
        <v>5300</v>
      </c>
      <c r="H10" s="8">
        <f t="shared" ref="H10:H19" si="1">G10*$E$2</f>
        <v>795</v>
      </c>
      <c r="I10" s="8">
        <f t="shared" ref="I10:I19" si="2">G10+H10</f>
        <v>6095</v>
      </c>
      <c r="J10" s="8">
        <f t="shared" ref="J10:J19" si="3">I10*$H$2</f>
        <v>792.35</v>
      </c>
      <c r="K10" s="6" t="s">
        <v>64</v>
      </c>
      <c r="L10" s="8">
        <f t="shared" ref="L10:L19" si="4">IF(K10="Да",$K$2*(1+$N$2)/$Q$2,0)</f>
        <v>479.16666666666669</v>
      </c>
      <c r="M10" s="8">
        <f t="shared" ref="M10:M19" si="5">J10+L10</f>
        <v>1271.5166666666667</v>
      </c>
      <c r="N10" s="8">
        <f t="shared" ref="N10:N19" si="6">I10-M10</f>
        <v>4823.4833333333336</v>
      </c>
      <c r="P10" s="6" t="s">
        <v>65</v>
      </c>
      <c r="Q10" s="8">
        <f>SUMIF($D$10:$D$19,Q$4,$I$10:$I$19)</f>
        <v>23115</v>
      </c>
      <c r="R10" s="8">
        <f>SUMIF($D$10:$D$19,R$4,$I$10:$I$19)</f>
        <v>27272.25</v>
      </c>
      <c r="S10" s="8">
        <f>SUMIF($D$10:$D$19,S$4,$I$10:$I$19)</f>
        <v>20498.174999999999</v>
      </c>
      <c r="T10" s="8">
        <f>SUMIF($D$10:$D$19,T$4,$I$10:$I$19)</f>
        <v>23452.841250000005</v>
      </c>
    </row>
    <row r="11" spans="1:22" x14ac:dyDescent="0.25">
      <c r="A11" s="6">
        <v>2</v>
      </c>
      <c r="B11" s="6" t="s">
        <v>34</v>
      </c>
      <c r="C11" s="6" t="s">
        <v>63</v>
      </c>
      <c r="D11" s="6">
        <v>2</v>
      </c>
      <c r="E11" s="6">
        <v>85</v>
      </c>
      <c r="F11" s="6">
        <v>3</v>
      </c>
      <c r="G11" s="8">
        <f t="shared" si="0"/>
        <v>7785</v>
      </c>
      <c r="H11" s="8">
        <f t="shared" si="1"/>
        <v>1167.75</v>
      </c>
      <c r="I11" s="8">
        <f t="shared" si="2"/>
        <v>8952.75</v>
      </c>
      <c r="J11" s="8">
        <f t="shared" si="3"/>
        <v>1163.8575000000001</v>
      </c>
      <c r="K11" s="6" t="s">
        <v>66</v>
      </c>
      <c r="L11" s="8">
        <f t="shared" si="4"/>
        <v>0</v>
      </c>
      <c r="M11" s="8">
        <f t="shared" si="5"/>
        <v>1163.8575000000001</v>
      </c>
      <c r="N11" s="8">
        <f t="shared" si="6"/>
        <v>7788.8924999999999</v>
      </c>
    </row>
    <row r="12" spans="1:22" x14ac:dyDescent="0.25">
      <c r="A12" s="6">
        <v>3</v>
      </c>
      <c r="B12" s="6" t="s">
        <v>67</v>
      </c>
      <c r="C12" s="6" t="s">
        <v>68</v>
      </c>
      <c r="D12" s="6">
        <v>3</v>
      </c>
      <c r="E12" s="6">
        <v>60</v>
      </c>
      <c r="F12" s="6">
        <v>4</v>
      </c>
      <c r="G12" s="8">
        <f t="shared" si="0"/>
        <v>5868</v>
      </c>
      <c r="H12" s="8">
        <f t="shared" si="1"/>
        <v>880.19999999999993</v>
      </c>
      <c r="I12" s="8">
        <f t="shared" si="2"/>
        <v>6748.2</v>
      </c>
      <c r="J12" s="8">
        <f t="shared" si="3"/>
        <v>877.26599999999996</v>
      </c>
      <c r="K12" s="6" t="s">
        <v>64</v>
      </c>
      <c r="L12" s="8">
        <f t="shared" si="4"/>
        <v>479.16666666666669</v>
      </c>
      <c r="M12" s="8">
        <f t="shared" si="5"/>
        <v>1356.4326666666666</v>
      </c>
      <c r="N12" s="8">
        <f t="shared" si="6"/>
        <v>5391.7673333333332</v>
      </c>
    </row>
    <row r="13" spans="1:22" x14ac:dyDescent="0.25">
      <c r="A13" s="6">
        <v>4</v>
      </c>
      <c r="B13" s="6" t="s">
        <v>69</v>
      </c>
      <c r="C13" s="6" t="s">
        <v>63</v>
      </c>
      <c r="D13" s="6">
        <v>4</v>
      </c>
      <c r="E13" s="6">
        <v>95</v>
      </c>
      <c r="F13" s="6">
        <v>6</v>
      </c>
      <c r="G13" s="8">
        <f t="shared" si="0"/>
        <v>10153.350000000002</v>
      </c>
      <c r="H13" s="8">
        <f t="shared" si="1"/>
        <v>1523.0025000000003</v>
      </c>
      <c r="I13" s="8">
        <f t="shared" si="2"/>
        <v>11676.352500000003</v>
      </c>
      <c r="J13" s="8">
        <f t="shared" si="3"/>
        <v>1517.9258250000005</v>
      </c>
      <c r="K13" s="6" t="s">
        <v>66</v>
      </c>
      <c r="L13" s="8">
        <f t="shared" si="4"/>
        <v>0</v>
      </c>
      <c r="M13" s="8">
        <f t="shared" si="5"/>
        <v>1517.9258250000005</v>
      </c>
      <c r="N13" s="8">
        <f t="shared" si="6"/>
        <v>10158.426675000002</v>
      </c>
    </row>
    <row r="14" spans="1:22" x14ac:dyDescent="0.25">
      <c r="A14" s="6">
        <v>5</v>
      </c>
      <c r="B14" s="6" t="s">
        <v>70</v>
      </c>
      <c r="C14" s="6" t="s">
        <v>63</v>
      </c>
      <c r="D14" s="6">
        <v>1</v>
      </c>
      <c r="E14" s="6">
        <v>110</v>
      </c>
      <c r="F14" s="6">
        <v>2</v>
      </c>
      <c r="G14" s="8">
        <f t="shared" si="0"/>
        <v>9500</v>
      </c>
      <c r="H14" s="8">
        <f t="shared" si="1"/>
        <v>1425</v>
      </c>
      <c r="I14" s="8">
        <f t="shared" si="2"/>
        <v>10925</v>
      </c>
      <c r="J14" s="8">
        <f t="shared" si="3"/>
        <v>1420.25</v>
      </c>
      <c r="K14" s="6" t="s">
        <v>64</v>
      </c>
      <c r="L14" s="8">
        <f t="shared" si="4"/>
        <v>479.16666666666669</v>
      </c>
      <c r="M14" s="8">
        <f t="shared" si="5"/>
        <v>1899.4166666666667</v>
      </c>
      <c r="N14" s="8">
        <f t="shared" si="6"/>
        <v>9025.5833333333339</v>
      </c>
    </row>
    <row r="15" spans="1:22" x14ac:dyDescent="0.25">
      <c r="A15" s="6">
        <v>6</v>
      </c>
      <c r="B15" s="6" t="s">
        <v>71</v>
      </c>
      <c r="C15" s="6" t="s">
        <v>68</v>
      </c>
      <c r="D15" s="6">
        <v>2</v>
      </c>
      <c r="E15" s="6">
        <v>75</v>
      </c>
      <c r="F15" s="6">
        <v>5</v>
      </c>
      <c r="G15" s="8">
        <f t="shared" si="0"/>
        <v>6375</v>
      </c>
      <c r="H15" s="8">
        <f t="shared" si="1"/>
        <v>956.25</v>
      </c>
      <c r="I15" s="8">
        <f t="shared" si="2"/>
        <v>7331.25</v>
      </c>
      <c r="J15" s="8">
        <f t="shared" si="3"/>
        <v>953.0625</v>
      </c>
      <c r="K15" s="6" t="s">
        <v>66</v>
      </c>
      <c r="L15" s="8">
        <f t="shared" si="4"/>
        <v>0</v>
      </c>
      <c r="M15" s="8">
        <f t="shared" si="5"/>
        <v>953.0625</v>
      </c>
      <c r="N15" s="8">
        <f t="shared" si="6"/>
        <v>6378.1875</v>
      </c>
    </row>
    <row r="16" spans="1:22" x14ac:dyDescent="0.25">
      <c r="A16" s="6">
        <v>7</v>
      </c>
      <c r="B16" s="6" t="s">
        <v>72</v>
      </c>
      <c r="C16" s="6" t="s">
        <v>63</v>
      </c>
      <c r="D16" s="6">
        <v>3</v>
      </c>
      <c r="E16" s="6">
        <v>120</v>
      </c>
      <c r="F16" s="6">
        <v>7</v>
      </c>
      <c r="G16" s="8">
        <f t="shared" si="0"/>
        <v>11956.5</v>
      </c>
      <c r="H16" s="8">
        <f t="shared" si="1"/>
        <v>1793.4749999999999</v>
      </c>
      <c r="I16" s="8">
        <f t="shared" si="2"/>
        <v>13749.975</v>
      </c>
      <c r="J16" s="8">
        <f t="shared" si="3"/>
        <v>1787.49675</v>
      </c>
      <c r="K16" s="6" t="s">
        <v>64</v>
      </c>
      <c r="L16" s="8">
        <f t="shared" si="4"/>
        <v>479.16666666666669</v>
      </c>
      <c r="M16" s="8">
        <f t="shared" si="5"/>
        <v>2266.6634166666668</v>
      </c>
      <c r="N16" s="8">
        <f t="shared" si="6"/>
        <v>11483.311583333334</v>
      </c>
    </row>
    <row r="17" spans="1:14" x14ac:dyDescent="0.25">
      <c r="A17" s="6">
        <v>8</v>
      </c>
      <c r="B17" s="6" t="s">
        <v>73</v>
      </c>
      <c r="C17" s="6" t="s">
        <v>68</v>
      </c>
      <c r="D17" s="6">
        <v>4</v>
      </c>
      <c r="E17" s="6">
        <v>90</v>
      </c>
      <c r="F17" s="6">
        <v>3</v>
      </c>
      <c r="G17" s="8">
        <f t="shared" si="0"/>
        <v>10240.425000000001</v>
      </c>
      <c r="H17" s="8">
        <f t="shared" si="1"/>
        <v>1536.06375</v>
      </c>
      <c r="I17" s="8">
        <f t="shared" si="2"/>
        <v>11776.48875</v>
      </c>
      <c r="J17" s="8">
        <f t="shared" si="3"/>
        <v>1530.9435375</v>
      </c>
      <c r="K17" s="6" t="s">
        <v>64</v>
      </c>
      <c r="L17" s="8">
        <f t="shared" si="4"/>
        <v>479.16666666666669</v>
      </c>
      <c r="M17" s="8">
        <f t="shared" si="5"/>
        <v>2010.1102041666668</v>
      </c>
      <c r="N17" s="8">
        <f t="shared" si="6"/>
        <v>9766.3785458333332</v>
      </c>
    </row>
    <row r="18" spans="1:14" x14ac:dyDescent="0.25">
      <c r="A18" s="6">
        <v>9</v>
      </c>
      <c r="B18" s="6" t="s">
        <v>74</v>
      </c>
      <c r="C18" s="6" t="s">
        <v>63</v>
      </c>
      <c r="D18" s="6">
        <v>2</v>
      </c>
      <c r="E18" s="6">
        <v>105</v>
      </c>
      <c r="F18" s="6">
        <v>4</v>
      </c>
      <c r="G18" s="8">
        <f t="shared" si="0"/>
        <v>9555</v>
      </c>
      <c r="H18" s="8">
        <f t="shared" si="1"/>
        <v>1433.25</v>
      </c>
      <c r="I18" s="8">
        <f t="shared" si="2"/>
        <v>10988.25</v>
      </c>
      <c r="J18" s="8">
        <f t="shared" si="3"/>
        <v>1428.4725000000001</v>
      </c>
      <c r="K18" s="6" t="s">
        <v>66</v>
      </c>
      <c r="L18" s="8">
        <f t="shared" si="4"/>
        <v>0</v>
      </c>
      <c r="M18" s="8">
        <f t="shared" si="5"/>
        <v>1428.4725000000001</v>
      </c>
      <c r="N18" s="8">
        <f t="shared" si="6"/>
        <v>9559.7775000000001</v>
      </c>
    </row>
    <row r="19" spans="1:14" x14ac:dyDescent="0.25">
      <c r="A19" s="6">
        <v>10</v>
      </c>
      <c r="B19" s="6" t="s">
        <v>75</v>
      </c>
      <c r="C19" s="6" t="s">
        <v>63</v>
      </c>
      <c r="D19" s="6">
        <v>1</v>
      </c>
      <c r="E19" s="6">
        <v>70</v>
      </c>
      <c r="F19" s="6">
        <v>5</v>
      </c>
      <c r="G19" s="8">
        <f t="shared" si="0"/>
        <v>5300</v>
      </c>
      <c r="H19" s="8">
        <f t="shared" si="1"/>
        <v>795</v>
      </c>
      <c r="I19" s="8">
        <f t="shared" si="2"/>
        <v>6095</v>
      </c>
      <c r="J19" s="8">
        <f t="shared" si="3"/>
        <v>792.35</v>
      </c>
      <c r="K19" s="6" t="s">
        <v>64</v>
      </c>
      <c r="L19" s="8">
        <f t="shared" si="4"/>
        <v>479.16666666666669</v>
      </c>
      <c r="M19" s="8">
        <f t="shared" si="5"/>
        <v>1271.5166666666667</v>
      </c>
      <c r="N19" s="8">
        <f t="shared" si="6"/>
        <v>4823.4833333333336</v>
      </c>
    </row>
    <row r="20" spans="1:14" x14ac:dyDescent="0.25">
      <c r="A20" s="9" t="s">
        <v>43</v>
      </c>
      <c r="B20" s="9"/>
      <c r="C20" s="9"/>
      <c r="D20" s="9"/>
      <c r="E20" s="9">
        <f t="shared" ref="E20:N20" si="7">SUM(E10:E19)</f>
        <v>880</v>
      </c>
      <c r="F20" s="9">
        <f t="shared" si="7"/>
        <v>44</v>
      </c>
      <c r="G20" s="10">
        <f t="shared" si="7"/>
        <v>82033.275000000009</v>
      </c>
      <c r="H20" s="10">
        <f t="shared" si="7"/>
        <v>12304.991249999999</v>
      </c>
      <c r="I20" s="10">
        <f t="shared" si="7"/>
        <v>94338.266250000001</v>
      </c>
      <c r="J20" s="10">
        <f t="shared" si="7"/>
        <v>12263.9746125</v>
      </c>
      <c r="K20" s="9">
        <f t="shared" si="7"/>
        <v>0</v>
      </c>
      <c r="L20" s="10">
        <f t="shared" si="7"/>
        <v>2875</v>
      </c>
      <c r="M20" s="10">
        <f t="shared" si="7"/>
        <v>15138.9746125</v>
      </c>
      <c r="N20" s="10">
        <f t="shared" si="7"/>
        <v>79199.291637500006</v>
      </c>
    </row>
  </sheetData>
  <mergeCells count="1">
    <mergeCell ref="A1:V1"/>
  </mergeCells>
  <pageMargins left="0.75" right="0.75" top="1" bottom="1" header="0.5" footer="0.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Содержание</vt:lpstr>
      <vt:lpstr>Задание 1</vt:lpstr>
      <vt:lpstr>Задание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 Федотов</cp:lastModifiedBy>
  <dcterms:created xsi:type="dcterms:W3CDTF">2026-10-06T17:40:59Z</dcterms:created>
  <dcterms:modified xsi:type="dcterms:W3CDTF">2026-10-07T19:19:56Z</dcterms:modified>
</cp:coreProperties>
</file>